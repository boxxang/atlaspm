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Post-freeze exception policy" state="visible" r:id="rId8"/>
    <sheet sheetId="6" name="Handover" state="visible" r:id="rId9"/>
    <sheet sheetId="7" name="Guide" state="visible" r:id="rId10"/>
  </sheets>
  <calcPr calcId="171027" fullCalcOnLoad="1"/>
</workbook>
</file>

<file path=xl/sharedStrings.xml><?xml version="1.0" encoding="utf-8"?>
<sst xmlns="http://schemas.openxmlformats.org/spreadsheetml/2006/main" count="279" uniqueCount="188">
  <si>
    <t>ERTL-D7 — RTL Freeze package</t>
  </si>
  <si>
    <t>Sign-off for ERTL-D7, produced by ERTL-03 Specification Change Control and ECO Board.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</si>
  <si>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</si>
  <si>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</si>
  <si>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</si>
  <si>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</si>
  <si>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</si>
  <si>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RTL Design &amp; Integration</t>
  </si>
  <si>
    <t>Producing activity</t>
  </si>
  <si>
    <t>ERTL-03 — Specification Change Control and ECO Board</t>
  </si>
  <si>
    <t>Activity owner</t>
  </si>
  <si>
    <t>Program manager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</si>
  <si>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</si>
  <si>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</si>
  <si>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</si>
  <si>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</si>
  <si>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</si>
  <si>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</si>
  <si>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</si>
  <si>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</si>
  <si>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</si>
  <si>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</si>
  <si>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</si>
  <si>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</si>
  <si>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</si>
  <si>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</si>
  <si>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</si>
  <si>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</si>
  <si>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</si>
  <si>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</si>
  <si>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</si>
  <si>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</si>
  <si>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</si>
  <si>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</si>
  <si>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</si>
  <si>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</si>
  <si>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</si>
  <si>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</si>
  <si>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</si>
  <si>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</si>
  <si>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RTL lead</t>
  </si>
  <si>
    <t>Verification lead</t>
  </si>
  <si>
    <t>Synthesis and PD representatives</t>
  </si>
  <si>
    <t>Configuration manager</t>
  </si>
  <si>
    <t>ERTL-D7 checklist — confirm every item on its evidence</t>
  </si>
  <si>
    <t>Owners fill Result, Evidence, Evidence owner and Owner status. The stage lead then confirms or rejects each item, naming who confirmed it and when.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</si>
  <si>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</si>
  <si>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</si>
  <si>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</si>
  <si>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</si>
  <si>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</si>
  <si>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</si>
  <si>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</si>
  <si>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</si>
  <si>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</si>
  <si>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</si>
  <si>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</si>
  <si>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by</t>
  </si>
  <si>
    <t>Confirmed on</t>
  </si>
  <si>
    <t>Flag</t>
  </si>
  <si>
    <t>B-01</t>
  </si>
  <si>
    <t>Baseline</t>
  </si>
  <si>
    <t>RTL release tag (block and top level)</t>
  </si>
  <si>
    <t>Version, tag or ID recorded</t>
  </si>
  <si>
    <t>Open</t>
  </si>
  <si>
    <t>Pending</t>
  </si>
  <si>
    <t>B-02</t>
  </si>
  <si>
    <t>IP version manifest (ERTL-D4)</t>
  </si>
  <si>
    <t>B-03</t>
  </si>
  <si>
    <t>UPF power intent version</t>
  </si>
  <si>
    <t>B-04</t>
  </si>
  <si>
    <t>Register map / RDL version</t>
  </si>
  <si>
    <t>B-05</t>
  </si>
  <si>
    <t>Boot ROM image frozen for tapeout (SDK-D1)</t>
  </si>
  <si>
    <t>E-01</t>
  </si>
  <si>
    <t>Entry criteria</t>
  </si>
  <si>
    <t>Process agreed and board membership named</t>
  </si>
  <si>
    <t>Met</t>
  </si>
  <si>
    <t>E-02</t>
  </si>
  <si>
    <t>Change intake path published to every team</t>
  </si>
  <si>
    <t>E-03</t>
  </si>
  <si>
    <t>Freeze criteria defined in the program plan</t>
  </si>
  <si>
    <t>C-01</t>
  </si>
  <si>
    <t>Checks</t>
  </si>
  <si>
    <t>Every block tagged in the release</t>
  </si>
  <si>
    <t>All blocks</t>
  </si>
  <si>
    <t>C-02</t>
  </si>
  <si>
    <t>Lint, CDC and RDC</t>
  </si>
  <si>
    <t>Clean, with every waiver signed</t>
  </si>
  <si>
    <t>C-03</t>
  </si>
  <si>
    <t>Trial synthesis QoR against the block budgets</t>
  </si>
  <si>
    <t>Within budget or dispositioned</t>
  </si>
  <si>
    <t>C-04</t>
  </si>
  <si>
    <t>Open change requests</t>
  </si>
  <si>
    <t>None open, or each deferred with an owner</t>
  </si>
  <si>
    <t>C-05</t>
  </si>
  <si>
    <t>Verification status at freeze (EDV)</t>
  </si>
  <si>
    <t>Stated, with the remaining holes listed</t>
  </si>
  <si>
    <t>C-06</t>
  </si>
  <si>
    <t>IP deliveries final</t>
  </si>
  <si>
    <t>All IP at its final version</t>
  </si>
  <si>
    <t>C-07</t>
  </si>
  <si>
    <t>UPF consistent with the RTL</t>
  </si>
  <si>
    <t>Checked</t>
  </si>
  <si>
    <t>X-01</t>
  </si>
  <si>
    <t>Exit criteria</t>
  </si>
  <si>
    <t>Freeze declared against criteria, not against a date</t>
  </si>
  <si>
    <t>X-02</t>
  </si>
  <si>
    <t>Every change carries an impact assessment before approval</t>
  </si>
  <si>
    <t>X-03</t>
  </si>
  <si>
    <t>Post-freeze exception policy published and used</t>
  </si>
  <si>
    <t>F-01</t>
  </si>
  <si>
    <t>Failure modes</t>
  </si>
  <si>
    <t>Freeze declared by date rather than by criteria. A gate that passes because it was scheduled teaches everyone that gates mean nothing.</t>
  </si>
  <si>
    <t>Addressed — say how in the result</t>
  </si>
  <si>
    <t>F-02</t>
  </si>
  <si>
    <t>Impact assessment skipped for small changes. The cost of a change is rarely in the block that changes; it is in the verification that has to be re-run.</t>
  </si>
  <si>
    <t>F-03</t>
  </si>
  <si>
    <t>Post-freeze exceptions ungoverned. Changes will be needed after freeze; without a policy they happen informally and nobody knows what the design contains.</t>
  </si>
  <si>
    <t>F-04</t>
  </si>
  <si>
    <t>Board without downstream representation. Verification and synthesis are the ones who pay for most changes, and a board without them approves costs it cannot see.</t>
  </si>
  <si>
    <t>F-05</t>
  </si>
  <si>
    <t>Change log not reconciled with the release. A freeze package that does not match what was actually built is a package nobody can rely on.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</si>
  <si>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</si>
  <si>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</si>
  <si>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</si>
  <si>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</si>
  <si>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</si>
  <si>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</si>
  <si>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</si>
  <si>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</si>
  <si>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</si>
  <si>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</si>
  <si>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</si>
  <si>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</si>
  <si>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</si>
  <si>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</si>
  <si>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</si>
  <si>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</si>
  <si>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</si>
  <si>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</si>
  <si>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Post-freeze exception policy</t>
  </si>
  <si>
    <t>After freeze, a change is admitted only through this policy. State who approves and on what evidence.</t>
  </si>
  <si>
    <t>Change class</t>
  </si>
  <si>
    <t>Admission rule</t>
  </si>
  <si>
    <t>Approver</t>
  </si>
  <si>
    <t>Handover</t>
  </si>
  <si>
    <t>Who receives ERTL-D7, and what they take from it. The receiving owner records receipt.</t>
  </si>
  <si>
    <t>Receiving activity</t>
  </si>
  <si>
    <t>What it takes from this deliverable</t>
  </si>
  <si>
    <t>Received by</t>
  </si>
  <si>
    <t>Received on</t>
  </si>
  <si>
    <t>ESYN-12 — FFN (Final Full Netlist) Release and Functional Freeze</t>
  </si>
  <si>
    <t>EDV-03 — Bug Triage and Disposition Board</t>
  </si>
  <si>
    <t>EPD-08 — Functional and Timing ECO Implementation</t>
  </si>
  <si>
    <t>ETO-03 — Tapeout Checklist Completion and Owner Signoff</t>
  </si>
  <si>
    <t>How to use this workbook</t>
  </si>
  <si>
    <t>ERTL-D7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</si>
  <si>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</si>
  <si>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</si>
  <si>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</si>
  <si>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Name who confirmed it in Confirmed by, and date every confirmation.</t>
  </si>
  <si>
    <t>3. Flags</t>
  </si>
  <si>
    <t>The Flag column names any row that is not yet supported: evidence missing, a waiver without an ID, a rejection without a comment, a confirmation of a failing item, a confirmation or rejection nobody put their name to,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</si>
  <si>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</si>
  <si>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</si>
  <si>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</si>
  <si>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</si>
  <si>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</si>
  <si>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</si>
  <si>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</si>
  <si>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</si>
  <si>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</si>
  <si>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</si>
  <si>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</si>
  <si>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</si>
  <si>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</si>
  <si>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</si>
  <si>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Macro pin timing — setup and hold, all signoff corners</t>
  </si>
  <si>
    <t>Target</t>
  </si>
  <si>
    <t>Within vendor limits, no negative slack</t>
  </si>
  <si>
    <t>Result</t>
  </si>
  <si>
    <t>Worst setup slack +42 ps (ss_0p72v_125c); worst hold +18 ps (ff_0p88v_m40c)</t>
  </si>
  <si>
    <t>Evidence</t>
  </si>
  <si>
    <t>sta/turn3/emram_pins_summary.rpt (run 2027-05-14)</t>
  </si>
  <si>
    <t>Timing closure lead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</si>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</sst>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SUMPRODUCT(--(LEN(Checklist!$C$4:$C$36)&gt;0))</f>
        <v>23</v>
      </c>
      <c r="C14" s="6"/>
      <c r="D14" s="6"/>
      <c r="E14" s="6"/>
    </row>
    <row r="15" spans="1:5" x14ac:dyDescent="0.25">
      <c r="A15" s="4" t="s">
        <v>16</v>
      </c>
      <c r="B15" s="6">
        <f>COUNTIFS(Checklist!$C$4:$C$36,"&lt;&gt;",Checklist!$H$4:$H$36,"Pass")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COUNTIFS(Checklist!$C$4:$C$36,"&lt;&gt;",Checklist!$H$4:$H$36,"Waived")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COUNTIFS(Checklist!$C$4:$C$36,"&lt;&gt;",Checklist!$H$4:$H$36,"N/A")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COUNTIFS(Checklist!$C$4:$C$36,"&lt;&gt;",Checklist!$H$4:$H$36,"Fail")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COUNTIFS(Checklist!$C$4:$C$36,"&lt;&gt;",Checklist!$H$4:$H$36,"Open")+COUNTIFS(Checklist!$C$4:$C$36,"&lt;&gt;",Checklist!$H$4:$H$36,"")</f>
        <v>23</v>
      </c>
      <c r="C19" s="6"/>
      <c r="D19" s="6"/>
      <c r="E19" s="6"/>
    </row>
    <row r="20" spans="1:5" x14ac:dyDescent="0.25">
      <c r="A20" s="4" t="s">
        <v>21</v>
      </c>
      <c r="B20" s="6">
        <f>COUNTIFS(Checklist!$C$4:$C$36,"&lt;&gt;",Checklist!$J$4:$J$36,"Confirmed")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COUNTIFS(Checklist!$C$4:$C$36,"&lt;&gt;",Checklist!$J$4:$J$36,"Rejected")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COUNTIFS(Checklist!$C$4:$C$36,"&lt;&gt;",Checklist!$J$4:$J$36,"Pending")+COUNTIFS(Checklist!$C$4:$C$36,"&lt;&gt;",Checklist!$J$4:$J$36,"")</f>
        <v>23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SUMPRODUCT(--(LEN(Checklist!$N$4:$N$36)&gt;0))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8" customWidth="1"/>
    <col min="13" max="13" width="12" customWidth="1"/>
    <col min="14" max="14" width="26" customWidth="1"/>
  </cols>
  <sheetData>
    <row r="1" spans="1:14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</row>
    <row r="4" spans="1:14" x14ac:dyDescent="0.25">
      <c r="A4" s="9" t="s">
        <v>60</v>
      </c>
      <c r="B4" s="6" t="s">
        <v>61</v>
      </c>
      <c r="C4" s="6" t="s">
        <v>62</v>
      </c>
      <c r="D4" s="6" t="s">
        <v>63</v>
      </c>
      <c r="E4" s="5"/>
      <c r="F4" s="5"/>
      <c r="G4" s="5"/>
      <c r="H4" s="5" t="s">
        <v>64</v>
      </c>
      <c r="I4" s="5"/>
      <c r="J4" s="5" t="s">
        <v>65</v>
      </c>
      <c r="K4" s="5"/>
      <c r="L4" s="5"/>
      <c r="M4" s="7"/>
      <c r="N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status",IF(AND(OR(J4="Confirmed",J4="Rejected"),L4=""),"Confirmed by missing",IF(AND(J4="Confirmed",M4=""),"Date missing","")))))))</f>
        <v/>
      </c>
    </row>
    <row r="5" spans="1:14" x14ac:dyDescent="0.25">
      <c r="A5" s="9" t="s">
        <v>66</v>
      </c>
      <c r="B5" s="6" t="s">
        <v>61</v>
      </c>
      <c r="C5" s="6" t="s">
        <v>67</v>
      </c>
      <c r="D5" s="6" t="s">
        <v>63</v>
      </c>
      <c r="E5" s="5"/>
      <c r="F5" s="5"/>
      <c r="G5" s="5"/>
      <c r="H5" s="5" t="s">
        <v>64</v>
      </c>
      <c r="I5" s="5"/>
      <c r="J5" s="5" t="s">
        <v>65</v>
      </c>
      <c r="K5" s="5"/>
      <c r="L5" s="5"/>
      <c r="M5" s="7"/>
      <c r="N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status",IF(AND(OR(J5="Confirmed",J5="Rejected"),L5=""),"Confirmed by missing",IF(AND(J5="Confirmed",M5=""),"Date missing","")))))))</f>
        <v/>
      </c>
    </row>
    <row r="6" spans="1:14" x14ac:dyDescent="0.25">
      <c r="A6" s="9" t="s">
        <v>68</v>
      </c>
      <c r="B6" s="6" t="s">
        <v>61</v>
      </c>
      <c r="C6" s="6" t="s">
        <v>69</v>
      </c>
      <c r="D6" s="6" t="s">
        <v>63</v>
      </c>
      <c r="E6" s="5"/>
      <c r="F6" s="5"/>
      <c r="G6" s="5"/>
      <c r="H6" s="5" t="s">
        <v>64</v>
      </c>
      <c r="I6" s="5"/>
      <c r="J6" s="5" t="s">
        <v>65</v>
      </c>
      <c r="K6" s="5"/>
      <c r="L6" s="5"/>
      <c r="M6" s="7"/>
      <c r="N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status",IF(AND(OR(J6="Confirmed",J6="Rejected"),L6=""),"Confirmed by missing",IF(AND(J6="Confirmed",M6=""),"Date missing","")))))))</f>
        <v/>
      </c>
    </row>
    <row r="7" spans="1:14" x14ac:dyDescent="0.25">
      <c r="A7" s="9" t="s">
        <v>70</v>
      </c>
      <c r="B7" s="6" t="s">
        <v>61</v>
      </c>
      <c r="C7" s="6" t="s">
        <v>71</v>
      </c>
      <c r="D7" s="6" t="s">
        <v>63</v>
      </c>
      <c r="E7" s="5"/>
      <c r="F7" s="5"/>
      <c r="G7" s="5"/>
      <c r="H7" s="5" t="s">
        <v>64</v>
      </c>
      <c r="I7" s="5"/>
      <c r="J7" s="5" t="s">
        <v>65</v>
      </c>
      <c r="K7" s="5"/>
      <c r="L7" s="5"/>
      <c r="M7" s="7"/>
      <c r="N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status",IF(AND(OR(J7="Confirmed",J7="Rejected"),L7=""),"Confirmed by missing",IF(AND(J7="Confirmed",M7=""),"Date missing","")))))))</f>
        <v/>
      </c>
    </row>
    <row r="8" spans="1:14" x14ac:dyDescent="0.25">
      <c r="A8" s="9" t="s">
        <v>72</v>
      </c>
      <c r="B8" s="6" t="s">
        <v>61</v>
      </c>
      <c r="C8" s="6" t="s">
        <v>73</v>
      </c>
      <c r="D8" s="6" t="s">
        <v>63</v>
      </c>
      <c r="E8" s="5"/>
      <c r="F8" s="5"/>
      <c r="G8" s="5"/>
      <c r="H8" s="5" t="s">
        <v>64</v>
      </c>
      <c r="I8" s="5"/>
      <c r="J8" s="5" t="s">
        <v>65</v>
      </c>
      <c r="K8" s="5"/>
      <c r="L8" s="5"/>
      <c r="M8" s="7"/>
      <c r="N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status",IF(AND(OR(J8="Confirmed",J8="Rejected"),L8=""),"Confirmed by missing",IF(AND(J8="Confirmed",M8=""),"Date missing","")))))))</f>
        <v/>
      </c>
    </row>
    <row r="9" spans="1:14" x14ac:dyDescent="0.25">
      <c r="A9" s="9" t="s">
        <v>74</v>
      </c>
      <c r="B9" s="6" t="s">
        <v>75</v>
      </c>
      <c r="C9" s="6" t="s">
        <v>76</v>
      </c>
      <c r="D9" s="6" t="s">
        <v>77</v>
      </c>
      <c r="E9" s="5"/>
      <c r="F9" s="5"/>
      <c r="G9" s="5"/>
      <c r="H9" s="5" t="s">
        <v>64</v>
      </c>
      <c r="I9" s="5"/>
      <c r="J9" s="5" t="s">
        <v>65</v>
      </c>
      <c r="K9" s="5"/>
      <c r="L9" s="5"/>
      <c r="M9" s="7"/>
      <c r="N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status",IF(AND(OR(J9="Confirmed",J9="Rejected"),L9=""),"Confirmed by missing",IF(AND(J9="Confirmed",M9=""),"Date missing","")))))))</f>
        <v/>
      </c>
    </row>
    <row r="10" spans="1:14" x14ac:dyDescent="0.25">
      <c r="A10" s="9" t="s">
        <v>78</v>
      </c>
      <c r="B10" s="6" t="s">
        <v>75</v>
      </c>
      <c r="C10" s="6" t="s">
        <v>79</v>
      </c>
      <c r="D10" s="6" t="s">
        <v>77</v>
      </c>
      <c r="E10" s="5"/>
      <c r="F10" s="5"/>
      <c r="G10" s="5"/>
      <c r="H10" s="5" t="s">
        <v>64</v>
      </c>
      <c r="I10" s="5"/>
      <c r="J10" s="5" t="s">
        <v>65</v>
      </c>
      <c r="K10" s="5"/>
      <c r="L10" s="5"/>
      <c r="M10" s="7"/>
      <c r="N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status",IF(AND(OR(J10="Confirmed",J10="Rejected"),L10=""),"Confirmed by missing",IF(AND(J10="Confirmed",M10=""),"Date missing","")))))))</f>
        <v/>
      </c>
    </row>
    <row r="11" spans="1:14" x14ac:dyDescent="0.25">
      <c r="A11" s="9" t="s">
        <v>80</v>
      </c>
      <c r="B11" s="6" t="s">
        <v>75</v>
      </c>
      <c r="C11" s="6" t="s">
        <v>81</v>
      </c>
      <c r="D11" s="6" t="s">
        <v>77</v>
      </c>
      <c r="E11" s="5"/>
      <c r="F11" s="5"/>
      <c r="G11" s="5"/>
      <c r="H11" s="5" t="s">
        <v>64</v>
      </c>
      <c r="I11" s="5"/>
      <c r="J11" s="5" t="s">
        <v>65</v>
      </c>
      <c r="K11" s="5"/>
      <c r="L11" s="5"/>
      <c r="M11" s="7"/>
      <c r="N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status",IF(AND(OR(J11="Confirmed",J11="Rejected"),L11=""),"Confirmed by missing",IF(AND(J11="Confirmed",M11=""),"Date missing","")))))))</f>
        <v/>
      </c>
    </row>
    <row r="12" spans="1:14" x14ac:dyDescent="0.25">
      <c r="A12" s="9" t="s">
        <v>82</v>
      </c>
      <c r="B12" s="6" t="s">
        <v>83</v>
      </c>
      <c r="C12" s="6" t="s">
        <v>84</v>
      </c>
      <c r="D12" s="6" t="s">
        <v>85</v>
      </c>
      <c r="E12" s="5"/>
      <c r="F12" s="5"/>
      <c r="G12" s="5"/>
      <c r="H12" s="5" t="s">
        <v>64</v>
      </c>
      <c r="I12" s="5"/>
      <c r="J12" s="5" t="s">
        <v>65</v>
      </c>
      <c r="K12" s="5"/>
      <c r="L12" s="5"/>
      <c r="M12" s="7"/>
      <c r="N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status",IF(AND(OR(J12="Confirmed",J12="Rejected"),L12=""),"Confirmed by missing",IF(AND(J12="Confirmed",M12=""),"Date missing","")))))))</f>
        <v/>
      </c>
    </row>
    <row r="13" spans="1:14" x14ac:dyDescent="0.25">
      <c r="A13" s="9" t="s">
        <v>86</v>
      </c>
      <c r="B13" s="6" t="s">
        <v>83</v>
      </c>
      <c r="C13" s="6" t="s">
        <v>87</v>
      </c>
      <c r="D13" s="6" t="s">
        <v>88</v>
      </c>
      <c r="E13" s="5"/>
      <c r="F13" s="5"/>
      <c r="G13" s="5"/>
      <c r="H13" s="5" t="s">
        <v>64</v>
      </c>
      <c r="I13" s="5"/>
      <c r="J13" s="5" t="s">
        <v>65</v>
      </c>
      <c r="K13" s="5"/>
      <c r="L13" s="5"/>
      <c r="M13" s="7"/>
      <c r="N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status",IF(AND(OR(J13="Confirmed",J13="Rejected"),L13=""),"Confirmed by missing",IF(AND(J13="Confirmed",M13=""),"Date missing","")))))))</f>
        <v/>
      </c>
    </row>
    <row r="14" spans="1:14" x14ac:dyDescent="0.25">
      <c r="A14" s="9" t="s">
        <v>89</v>
      </c>
      <c r="B14" s="6" t="s">
        <v>83</v>
      </c>
      <c r="C14" s="6" t="s">
        <v>90</v>
      </c>
      <c r="D14" s="6" t="s">
        <v>91</v>
      </c>
      <c r="E14" s="5"/>
      <c r="F14" s="5"/>
      <c r="G14" s="5"/>
      <c r="H14" s="5" t="s">
        <v>64</v>
      </c>
      <c r="I14" s="5"/>
      <c r="J14" s="5" t="s">
        <v>65</v>
      </c>
      <c r="K14" s="5"/>
      <c r="L14" s="5"/>
      <c r="M14" s="7"/>
      <c r="N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status",IF(AND(OR(J14="Confirmed",J14="Rejected"),L14=""),"Confirmed by missing",IF(AND(J14="Confirmed",M14=""),"Date missing","")))))))</f>
        <v/>
      </c>
    </row>
    <row r="15" spans="1:14" x14ac:dyDescent="0.25">
      <c r="A15" s="9" t="s">
        <v>92</v>
      </c>
      <c r="B15" s="6" t="s">
        <v>83</v>
      </c>
      <c r="C15" s="6" t="s">
        <v>93</v>
      </c>
      <c r="D15" s="6" t="s">
        <v>94</v>
      </c>
      <c r="E15" s="5"/>
      <c r="F15" s="5"/>
      <c r="G15" s="5"/>
      <c r="H15" s="5" t="s">
        <v>64</v>
      </c>
      <c r="I15" s="5"/>
      <c r="J15" s="5" t="s">
        <v>65</v>
      </c>
      <c r="K15" s="5"/>
      <c r="L15" s="5"/>
      <c r="M15" s="7"/>
      <c r="N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status",IF(AND(OR(J15="Confirmed",J15="Rejected"),L15=""),"Confirmed by missing",IF(AND(J15="Confirmed",M15=""),"Date missing","")))))))</f>
        <v/>
      </c>
    </row>
    <row r="16" spans="1:14" x14ac:dyDescent="0.25">
      <c r="A16" s="9" t="s">
        <v>95</v>
      </c>
      <c r="B16" s="6" t="s">
        <v>83</v>
      </c>
      <c r="C16" s="6" t="s">
        <v>96</v>
      </c>
      <c r="D16" s="6" t="s">
        <v>97</v>
      </c>
      <c r="E16" s="5"/>
      <c r="F16" s="5"/>
      <c r="G16" s="5"/>
      <c r="H16" s="5" t="s">
        <v>64</v>
      </c>
      <c r="I16" s="5"/>
      <c r="J16" s="5" t="s">
        <v>65</v>
      </c>
      <c r="K16" s="5"/>
      <c r="L16" s="5"/>
      <c r="M16" s="7"/>
      <c r="N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status",IF(AND(OR(J16="Confirmed",J16="Rejected"),L16=""),"Confirmed by missing",IF(AND(J16="Confirmed",M16=""),"Date missing","")))))))</f>
        <v/>
      </c>
    </row>
    <row r="17" spans="1:14" x14ac:dyDescent="0.25">
      <c r="A17" s="9" t="s">
        <v>98</v>
      </c>
      <c r="B17" s="6" t="s">
        <v>83</v>
      </c>
      <c r="C17" s="6" t="s">
        <v>99</v>
      </c>
      <c r="D17" s="6" t="s">
        <v>100</v>
      </c>
      <c r="E17" s="5"/>
      <c r="F17" s="5"/>
      <c r="G17" s="5"/>
      <c r="H17" s="5" t="s">
        <v>64</v>
      </c>
      <c r="I17" s="5"/>
      <c r="J17" s="5" t="s">
        <v>65</v>
      </c>
      <c r="K17" s="5"/>
      <c r="L17" s="5"/>
      <c r="M17" s="7"/>
      <c r="N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status",IF(AND(OR(J17="Confirmed",J17="Rejected"),L17=""),"Confirmed by missing",IF(AND(J17="Confirmed",M17=""),"Date missing","")))))))</f>
        <v/>
      </c>
    </row>
    <row r="18" spans="1:14" x14ac:dyDescent="0.25">
      <c r="A18" s="9" t="s">
        <v>101</v>
      </c>
      <c r="B18" s="6" t="s">
        <v>83</v>
      </c>
      <c r="C18" s="6" t="s">
        <v>102</v>
      </c>
      <c r="D18" s="6" t="s">
        <v>103</v>
      </c>
      <c r="E18" s="5"/>
      <c r="F18" s="5"/>
      <c r="G18" s="5"/>
      <c r="H18" s="5" t="s">
        <v>64</v>
      </c>
      <c r="I18" s="5"/>
      <c r="J18" s="5" t="s">
        <v>65</v>
      </c>
      <c r="K18" s="5"/>
      <c r="L18" s="5"/>
      <c r="M18" s="7"/>
      <c r="N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status",IF(AND(OR(J18="Confirmed",J18="Rejected"),L18=""),"Confirmed by missing",IF(AND(J18="Confirmed",M18=""),"Date missing","")))))))</f>
        <v/>
      </c>
    </row>
    <row r="19" spans="1:14" x14ac:dyDescent="0.25">
      <c r="A19" s="9" t="s">
        <v>104</v>
      </c>
      <c r="B19" s="6" t="s">
        <v>105</v>
      </c>
      <c r="C19" s="6" t="s">
        <v>106</v>
      </c>
      <c r="D19" s="6" t="s">
        <v>77</v>
      </c>
      <c r="E19" s="5"/>
      <c r="F19" s="5"/>
      <c r="G19" s="5"/>
      <c r="H19" s="5" t="s">
        <v>64</v>
      </c>
      <c r="I19" s="5"/>
      <c r="J19" s="5" t="s">
        <v>65</v>
      </c>
      <c r="K19" s="5"/>
      <c r="L19" s="5"/>
      <c r="M19" s="7"/>
      <c r="N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status",IF(AND(OR(J19="Confirmed",J19="Rejected"),L19=""),"Confirmed by missing",IF(AND(J19="Confirmed",M19=""),"Date missing","")))))))</f>
        <v/>
      </c>
    </row>
    <row r="20" spans="1:14" x14ac:dyDescent="0.25">
      <c r="A20" s="9" t="s">
        <v>107</v>
      </c>
      <c r="B20" s="6" t="s">
        <v>105</v>
      </c>
      <c r="C20" s="6" t="s">
        <v>108</v>
      </c>
      <c r="D20" s="6" t="s">
        <v>77</v>
      </c>
      <c r="E20" s="5"/>
      <c r="F20" s="5"/>
      <c r="G20" s="5"/>
      <c r="H20" s="5" t="s">
        <v>64</v>
      </c>
      <c r="I20" s="5"/>
      <c r="J20" s="5" t="s">
        <v>65</v>
      </c>
      <c r="K20" s="5"/>
      <c r="L20" s="5"/>
      <c r="M20" s="7"/>
      <c r="N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status",IF(AND(OR(J20="Confirmed",J20="Rejected"),L20=""),"Confirmed by missing",IF(AND(J20="Confirmed",M20=""),"Date missing","")))))))</f>
        <v/>
      </c>
    </row>
    <row r="21" spans="1:14" x14ac:dyDescent="0.25">
      <c r="A21" s="9" t="s">
        <v>109</v>
      </c>
      <c r="B21" s="6" t="s">
        <v>105</v>
      </c>
      <c r="C21" s="6" t="s">
        <v>110</v>
      </c>
      <c r="D21" s="6" t="s">
        <v>77</v>
      </c>
      <c r="E21" s="5"/>
      <c r="F21" s="5"/>
      <c r="G21" s="5"/>
      <c r="H21" s="5" t="s">
        <v>64</v>
      </c>
      <c r="I21" s="5"/>
      <c r="J21" s="5" t="s">
        <v>65</v>
      </c>
      <c r="K21" s="5"/>
      <c r="L21" s="5"/>
      <c r="M21" s="7"/>
      <c r="N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status",IF(AND(OR(J21="Confirmed",J21="Rejected"),L21=""),"Confirmed by missing",IF(AND(J21="Confirmed",M21=""),"Date missing","")))))))</f>
        <v/>
      </c>
    </row>
    <row r="22" spans="1:14" x14ac:dyDescent="0.25">
      <c r="A22" s="9" t="s">
        <v>111</v>
      </c>
      <c r="B22" s="6" t="s">
        <v>112</v>
      </c>
      <c r="C22" s="6" t="s">
        <v>113</v>
      </c>
      <c r="D22" s="6" t="s">
        <v>114</v>
      </c>
      <c r="E22" s="5"/>
      <c r="F22" s="5"/>
      <c r="G22" s="5"/>
      <c r="H22" s="5" t="s">
        <v>64</v>
      </c>
      <c r="I22" s="5"/>
      <c r="J22" s="5" t="s">
        <v>65</v>
      </c>
      <c r="K22" s="5"/>
      <c r="L22" s="5"/>
      <c r="M22" s="7"/>
      <c r="N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status",IF(AND(OR(J22="Confirmed",J22="Rejected"),L22=""),"Confirmed by missing",IF(AND(J22="Confirmed",M22=""),"Date missing","")))))))</f>
        <v/>
      </c>
    </row>
    <row r="23" spans="1:14" x14ac:dyDescent="0.25">
      <c r="A23" s="9" t="s">
        <v>115</v>
      </c>
      <c r="B23" s="6" t="s">
        <v>112</v>
      </c>
      <c r="C23" s="6" t="s">
        <v>116</v>
      </c>
      <c r="D23" s="6" t="s">
        <v>114</v>
      </c>
      <c r="E23" s="5"/>
      <c r="F23" s="5"/>
      <c r="G23" s="5"/>
      <c r="H23" s="5" t="s">
        <v>64</v>
      </c>
      <c r="I23" s="5"/>
      <c r="J23" s="5" t="s">
        <v>65</v>
      </c>
      <c r="K23" s="5"/>
      <c r="L23" s="5"/>
      <c r="M23" s="7"/>
      <c r="N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status",IF(AND(OR(J23="Confirmed",J23="Rejected"),L23=""),"Confirmed by missing",IF(AND(J23="Confirmed",M23=""),"Date missing","")))))))</f>
        <v/>
      </c>
    </row>
    <row r="24" spans="1:14" x14ac:dyDescent="0.25">
      <c r="A24" s="9" t="s">
        <v>117</v>
      </c>
      <c r="B24" s="6" t="s">
        <v>112</v>
      </c>
      <c r="C24" s="6" t="s">
        <v>118</v>
      </c>
      <c r="D24" s="6" t="s">
        <v>114</v>
      </c>
      <c r="E24" s="5"/>
      <c r="F24" s="5"/>
      <c r="G24" s="5"/>
      <c r="H24" s="5" t="s">
        <v>64</v>
      </c>
      <c r="I24" s="5"/>
      <c r="J24" s="5" t="s">
        <v>65</v>
      </c>
      <c r="K24" s="5"/>
      <c r="L24" s="5"/>
      <c r="M24" s="7"/>
      <c r="N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status",IF(AND(OR(J24="Confirmed",J24="Rejected"),L24=""),"Confirmed by missing",IF(AND(J24="Confirmed",M24=""),"Date missing","")))))))</f>
        <v/>
      </c>
    </row>
    <row r="25" spans="1:14" x14ac:dyDescent="0.25">
      <c r="A25" s="9" t="s">
        <v>119</v>
      </c>
      <c r="B25" s="6" t="s">
        <v>112</v>
      </c>
      <c r="C25" s="6" t="s">
        <v>120</v>
      </c>
      <c r="D25" s="6" t="s">
        <v>114</v>
      </c>
      <c r="E25" s="5"/>
      <c r="F25" s="5"/>
      <c r="G25" s="5"/>
      <c r="H25" s="5" t="s">
        <v>64</v>
      </c>
      <c r="I25" s="5"/>
      <c r="J25" s="5" t="s">
        <v>65</v>
      </c>
      <c r="K25" s="5"/>
      <c r="L25" s="5"/>
      <c r="M25" s="7"/>
      <c r="N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status",IF(AND(OR(J25="Confirmed",J25="Rejected"),L25=""),"Confirmed by missing",IF(AND(J25="Confirmed",M25=""),"Date missing","")))))))</f>
        <v/>
      </c>
    </row>
    <row r="26" spans="1:14" x14ac:dyDescent="0.25">
      <c r="A26" s="9" t="s">
        <v>121</v>
      </c>
      <c r="B26" s="6" t="s">
        <v>112</v>
      </c>
      <c r="C26" s="6" t="s">
        <v>122</v>
      </c>
      <c r="D26" s="6" t="s">
        <v>114</v>
      </c>
      <c r="E26" s="5"/>
      <c r="F26" s="5"/>
      <c r="G26" s="5"/>
      <c r="H26" s="5" t="s">
        <v>64</v>
      </c>
      <c r="I26" s="5"/>
      <c r="J26" s="5" t="s">
        <v>65</v>
      </c>
      <c r="K26" s="5"/>
      <c r="L26" s="5"/>
      <c r="M26" s="7"/>
      <c r="N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status",IF(AND(OR(J26="Confirmed",J26="Rejected"),L26=""),"Confirmed by missing",IF(AND(J26="Confirmed",M26=""),"Date missing","")))))))</f>
        <v/>
      </c>
    </row>
    <row r="27" spans="1:14" x14ac:dyDescent="0.25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status",IF(AND(OR(J27="Confirmed",J27="Rejected"),L27=""),"Confirmed by missing",IF(AND(J27="Confirmed",M27=""),"Date missing","")))))))</f>
        <v/>
      </c>
    </row>
    <row r="28" spans="1:14" x14ac:dyDescent="0.25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status",IF(AND(OR(J28="Confirmed",J28="Rejected"),L28=""),"Confirmed by missing",IF(AND(J28="Confirmed",M28=""),"Date missing","")))))))</f>
        <v/>
      </c>
    </row>
    <row r="29" spans="1:14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status",IF(AND(OR(J29="Confirmed",J29="Rejected"),L29=""),"Confirmed by missing",IF(AND(J29="Confirmed",M29=""),"Date missing","")))))))</f>
        <v/>
      </c>
    </row>
    <row r="30" spans="1:14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status",IF(AND(OR(J30="Confirmed",J30="Rejected"),L30=""),"Confirmed by missing",IF(AND(J30="Confirmed",M30=""),"Date missing","")))))))</f>
        <v/>
      </c>
    </row>
    <row r="31" spans="1:14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status",IF(AND(OR(J31="Confirmed",J31="Rejected"),L31=""),"Confirmed by missing",IF(AND(J31="Confirmed",M31=""),"Date missing","")))))))</f>
        <v/>
      </c>
    </row>
    <row r="32" spans="1:14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status",IF(AND(OR(J32="Confirmed",J32="Rejected"),L32=""),"Confirmed by missing",IF(AND(J32="Confirmed",M32=""),"Date missing","")))))))</f>
        <v/>
      </c>
    </row>
    <row r="33" spans="1:14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status",IF(AND(OR(J33="Confirmed",J33="Rejected"),L33=""),"Confirmed by missing",IF(AND(J33="Confirmed",M33=""),"Date missing","")))))))</f>
        <v/>
      </c>
    </row>
    <row r="34" spans="1:14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status",IF(AND(OR(J34="Confirmed",J34="Rejected"),L34=""),"Confirmed by missing",IF(AND(J34="Confirmed",M34=""),"Date missing","")))))))</f>
        <v/>
      </c>
    </row>
    <row r="35" spans="1:14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status",IF(AND(OR(J35="Confirmed",J35="Rejected"),L35=""),"Confirmed by missing",IF(AND(J35="Confirmed",M35=""),"Date missing","")))))))</f>
        <v/>
      </c>
    </row>
    <row r="36" spans="1:14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status",IF(AND(OR(J36="Confirmed",J36="Rejected"),L36=""),"Confirmed by missing",IF(AND(J36="Confirmed",M36=""),"Date missing","")))))))</f>
        <v/>
      </c>
    </row>
  </sheetData>
  <autoFilter ref="A3:N36"/>
  <mergeCells count="2">
    <mergeCell ref="A1:N1"/>
    <mergeCell ref="A2:N2"/>
  </mergeCells>
  <conditionalFormatting sqref="H4:H36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6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6">
      <formula1>"Pass,Fail,Waived,N/A,Open"</formula1>
    </dataValidation>
    <dataValidation type="list" allowBlank="1" showErrorMessage="1" errorTitle="Pick from the list" error="One of: Pass, Fail, Waived, N/A, Open" sqref="H4:H36">
      <formula1>"Pass,Fail,Waived,N/A,Open"</formula1>
    </dataValidation>
    <dataValidation type="list" allowBlank="1" showErrorMessage="1" errorTitle="Pick from the list" error="One of: Pending, Confirmed, Rejected" sqref="J10:J36">
      <formula1>"Pending,Confirmed,Rejected"</formula1>
    </dataValidation>
    <dataValidation type="list" allowBlank="1" showErrorMessage="1" errorTitle="Pick from the list" error="One of: Pending, Confirmed, Rejected" sqref="J4:J36">
      <formula1>"Pending,Confirmed,Rejected"</formula1>
    </dataValidation>
    <dataValidation type="date" operator="greaterThan" allowBlank="1" showErrorMessage="1" error="A date, e.g. 2027-03-15" sqref="M10:M36">
      <formula1>43831</formula1>
    </dataValidation>
    <dataValidation type="date" operator="greaterThan" allowBlank="1" showErrorMessage="1" error="A date, e.g. 2027-03-15" sqref="M4:M36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124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  <c r="G3" s="4" t="s">
        <v>131</v>
      </c>
      <c r="H3" s="4" t="s">
        <v>132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134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127</v>
      </c>
      <c r="C3" s="4" t="s">
        <v>135</v>
      </c>
      <c r="D3" s="4" t="s">
        <v>136</v>
      </c>
      <c r="E3" s="4" t="s">
        <v>137</v>
      </c>
      <c r="F3" s="4" t="s">
        <v>138</v>
      </c>
      <c r="G3" s="4" t="s">
        <v>139</v>
      </c>
      <c r="H3" s="4" t="s">
        <v>140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6" customWidth="1"/>
  </cols>
  <sheetData>
    <row r="1" spans="1:3" x14ac:dyDescent="0.25">
      <c r="A1" s="1" t="s">
        <v>141</v>
      </c>
      <c r="B1" s="1"/>
      <c r="C1" s="1"/>
    </row>
    <row r="2" ht="28" customHeight="1" spans="1:3" x14ac:dyDescent="0.25">
      <c r="A2" s="2" t="s">
        <v>142</v>
      </c>
      <c r="B2" s="2"/>
      <c r="C2" s="2"/>
    </row>
    <row r="3" ht="30" customHeight="1" spans="1:3" x14ac:dyDescent="0.25">
      <c r="A3" s="4" t="s">
        <v>143</v>
      </c>
      <c r="B3" s="4" t="s">
        <v>144</v>
      </c>
      <c r="C3" s="4" t="s">
        <v>145</v>
      </c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</sheetData>
  <mergeCells count="2">
    <mergeCell ref="A1:C1"/>
    <mergeCell ref="A2:C2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146</v>
      </c>
      <c r="B1" s="1"/>
      <c r="C1" s="1"/>
      <c r="D1" s="1"/>
    </row>
    <row r="2" ht="28" customHeight="1" spans="1:4" x14ac:dyDescent="0.25">
      <c r="A2" s="2" t="s">
        <v>147</v>
      </c>
      <c r="B2" s="2"/>
      <c r="C2" s="2"/>
      <c r="D2" s="2"/>
    </row>
    <row r="3" ht="30" customHeight="1" spans="1:4" x14ac:dyDescent="0.25">
      <c r="A3" s="4" t="s">
        <v>148</v>
      </c>
      <c r="B3" s="4" t="s">
        <v>149</v>
      </c>
      <c r="C3" s="4" t="s">
        <v>150</v>
      </c>
      <c r="D3" s="4" t="s">
        <v>151</v>
      </c>
    </row>
    <row r="4" spans="1:4" x14ac:dyDescent="0.25">
      <c r="A4" s="6" t="s">
        <v>152</v>
      </c>
      <c r="B4" s="5"/>
      <c r="C4" s="5"/>
      <c r="D4" s="7"/>
    </row>
    <row r="5" spans="1:4" x14ac:dyDescent="0.25">
      <c r="A5" s="6" t="s">
        <v>153</v>
      </c>
      <c r="B5" s="5"/>
      <c r="C5" s="5"/>
      <c r="D5" s="7"/>
    </row>
    <row r="6" spans="1:4" x14ac:dyDescent="0.25">
      <c r="A6" s="6" t="s">
        <v>154</v>
      </c>
      <c r="B6" s="5"/>
      <c r="C6" s="5"/>
      <c r="D6" s="7"/>
    </row>
    <row r="7" spans="1:4" x14ac:dyDescent="0.25">
      <c r="A7" s="6" t="s">
        <v>155</v>
      </c>
      <c r="B7" s="5"/>
      <c r="C7" s="5"/>
      <c r="D7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7">
      <formula1>43831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156</v>
      </c>
      <c r="B1" s="1"/>
    </row>
    <row r="2" ht="28" customHeight="1" spans="1:2" x14ac:dyDescent="0.25">
      <c r="A2" s="2" t="s">
        <v>157</v>
      </c>
      <c r="B2" s="2"/>
    </row>
    <row r="4" spans="1:2" x14ac:dyDescent="0.25">
      <c r="A4" s="4" t="s">
        <v>158</v>
      </c>
      <c r="B4" s="13" t="s">
        <v>159</v>
      </c>
    </row>
    <row r="5" spans="1:2" x14ac:dyDescent="0.25">
      <c r="A5" s="4" t="s">
        <v>160</v>
      </c>
      <c r="B5" s="13" t="s">
        <v>161</v>
      </c>
    </row>
    <row r="6" spans="1:2" x14ac:dyDescent="0.25">
      <c r="A6" s="4" t="s">
        <v>162</v>
      </c>
      <c r="B6" s="13" t="s">
        <v>163</v>
      </c>
    </row>
    <row r="7" spans="1:2" x14ac:dyDescent="0.25">
      <c r="A7" s="4" t="s">
        <v>164</v>
      </c>
      <c r="B7" s="13" t="s">
        <v>165</v>
      </c>
    </row>
    <row r="8" spans="1:2" x14ac:dyDescent="0.25">
      <c r="A8" s="4" t="s">
        <v>166</v>
      </c>
      <c r="B8" s="13" t="s">
        <v>167</v>
      </c>
    </row>
    <row r="9" spans="1:2" x14ac:dyDescent="0.25">
      <c r="A9" s="4" t="s">
        <v>168</v>
      </c>
      <c r="B9" s="13" t="s">
        <v>169</v>
      </c>
    </row>
    <row r="11" spans="1:2" x14ac:dyDescent="0.25">
      <c r="A11" s="14" t="s">
        <v>170</v>
      </c>
      <c r="B11" s="13" t="s">
        <v>171</v>
      </c>
    </row>
    <row r="12" spans="1:2" x14ac:dyDescent="0.25">
      <c r="A12" s="15" t="s">
        <v>172</v>
      </c>
      <c r="B12" s="13" t="s">
        <v>173</v>
      </c>
    </row>
    <row r="13" spans="1:2" x14ac:dyDescent="0.25">
      <c r="A13" s="4" t="s">
        <v>53</v>
      </c>
      <c r="B13" s="13" t="s">
        <v>174</v>
      </c>
    </row>
    <row r="14" spans="1:2" x14ac:dyDescent="0.25">
      <c r="A14" s="4" t="s">
        <v>175</v>
      </c>
      <c r="B14" s="13" t="s">
        <v>176</v>
      </c>
    </row>
    <row r="16" spans="1:1" x14ac:dyDescent="0.25">
      <c r="A16" s="16" t="s">
        <v>177</v>
      </c>
    </row>
    <row r="17" spans="1:2" x14ac:dyDescent="0.25">
      <c r="A17" s="4" t="s">
        <v>48</v>
      </c>
      <c r="B17" s="13" t="s">
        <v>178</v>
      </c>
    </row>
    <row r="18" spans="1:2" x14ac:dyDescent="0.25">
      <c r="A18" s="4" t="s">
        <v>179</v>
      </c>
      <c r="B18" s="13" t="s">
        <v>180</v>
      </c>
    </row>
    <row r="19" spans="1:2" x14ac:dyDescent="0.25">
      <c r="A19" s="4" t="s">
        <v>181</v>
      </c>
      <c r="B19" s="13" t="s">
        <v>182</v>
      </c>
    </row>
    <row r="20" spans="1:2" x14ac:dyDescent="0.25">
      <c r="A20" s="4" t="s">
        <v>183</v>
      </c>
      <c r="B20" s="13" t="s">
        <v>184</v>
      </c>
    </row>
    <row r="21" spans="1:2" x14ac:dyDescent="0.25">
      <c r="A21" s="4" t="s">
        <v>52</v>
      </c>
      <c r="B21" s="13" t="s">
        <v>185</v>
      </c>
    </row>
    <row r="22" spans="1:2" x14ac:dyDescent="0.25">
      <c r="A22" s="4" t="s">
        <v>53</v>
      </c>
      <c r="B22" s="13" t="s">
        <v>186</v>
      </c>
    </row>
    <row r="23" spans="1:2" x14ac:dyDescent="0.25">
      <c r="A23" s="4" t="s">
        <v>32</v>
      </c>
      <c r="B23" s="13" t="s">
        <v>187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Sign-off</vt:lpstr>
      <vt:lpstr>Checklist</vt:lpstr>
      <vt:lpstr>Open issues</vt:lpstr>
      <vt:lpstr>Waivers</vt:lpstr>
      <vt:lpstr>Post-freeze exception policy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ERTL-D7 — RTL Freeze package</dc:title>
  <dc:subject/>
  <dc:description/>
  <cp:keywords/>
  <cp:category/>
  <cp:lastModifiedBy>Unknown</cp:lastModifiedBy>
  <dcterms:created xsi:type="dcterms:W3CDTF">2026-09-27T13:48:40Z</dcterms:created>
  <dcterms:modified xsi:type="dcterms:W3CDTF">2026-09-27T13:48:40Z</dcterms:modified>
</cp:coreProperties>
</file>