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ign-off" state="visible" r:id="rId4"/>
    <sheet sheetId="2" name="Checklist" state="visible" r:id="rId5"/>
    <sheet sheetId="3" name="Open issues" state="visible" r:id="rId6"/>
    <sheet sheetId="4" name="Waivers" state="visible" r:id="rId7"/>
    <sheet sheetId="5" name="Residual risk statement" state="visible" r:id="rId8"/>
    <sheet sheetId="6" name="Handover" state="visible" r:id="rId9"/>
    <sheet sheetId="7" name="Guide" state="visible" r:id="rId10"/>
  </sheets>
  <calcPr calcId="171027" fullCalcOnLoad="1"/>
</workbook>
</file>

<file path=xl/sharedStrings.xml><?xml version="1.0" encoding="utf-8"?>
<sst xmlns="http://schemas.openxmlformats.org/spreadsheetml/2006/main" count="278" uniqueCount="184">
  <si>
    <t>ESO-D7 — Signoff summary and Design Freeze package</t>
  </si>
  <si>
    <t>Sign-off for ESO-D7, produced by ESO-11 Waiver Review Board and Foundry Waiver Alignment. Work through the Checklist first; this sheet counts it. See Guide for how to use the workbook.</t>
  </si>
  <si>
    <t>Document control</t>
  </si>
  <si>
    <t>Programme</t>
  </si>
  <si>
    <t/>
  </si>
  <si>
    <t>Deliverable</t>
  </si>
  <si>
    <t>Stage</t>
  </si>
  <si>
    <t>Signoff</t>
  </si>
  <si>
    <t>Producing activity</t>
  </si>
  <si>
    <t>ESO-11 — Waiver Review Board and Foundry Waiver Alignment</t>
  </si>
  <si>
    <t>Activity owner</t>
  </si>
  <si>
    <t>Signoff lead</t>
  </si>
  <si>
    <t>Version</t>
  </si>
  <si>
    <t>Date issued for review</t>
  </si>
  <si>
    <t>Readiness — counted from the Checklist</t>
  </si>
  <si>
    <t>Items to confirm</t>
  </si>
  <si>
    <t>Owner status — Pass</t>
  </si>
  <si>
    <t>Owner status — Waived</t>
  </si>
  <si>
    <t>Owner status — N/A</t>
  </si>
  <si>
    <t>Owner status — Fail</t>
  </si>
  <si>
    <t>Owner status — Open or blank</t>
  </si>
  <si>
    <t>Stage lead — Confirmed</t>
  </si>
  <si>
    <t>Stage lead — Rejected</t>
  </si>
  <si>
    <t>Stage lead — Pending or blank</t>
  </si>
  <si>
    <t>Confirmed so far</t>
  </si>
  <si>
    <t>Rows flagged on the Checklist</t>
  </si>
  <si>
    <t>Critical or High issues still Open</t>
  </si>
  <si>
    <t>Waivers without an approver</t>
  </si>
  <si>
    <t>Suggested outcome</t>
  </si>
  <si>
    <t>Final decision — stage lead</t>
  </si>
  <si>
    <t>Decision</t>
  </si>
  <si>
    <t>Conditions (if any)</t>
  </si>
  <si>
    <t>Stage lead</t>
  </si>
  <si>
    <t>Decided on</t>
  </si>
  <si>
    <t>Consistency check</t>
  </si>
  <si>
    <t>Sign-off by role</t>
  </si>
  <si>
    <t>Role</t>
  </si>
  <si>
    <t>Name</t>
  </si>
  <si>
    <t>Date</t>
  </si>
  <si>
    <t>Comment</t>
  </si>
  <si>
    <t>Domain signoff owners</t>
  </si>
  <si>
    <t>Foundry liaison</t>
  </si>
  <si>
    <t>Chief architect</t>
  </si>
  <si>
    <t>Program manager</t>
  </si>
  <si>
    <t>ESO-D7 checklist — confirm every item on its evidence</t>
  </si>
  <si>
    <t>Owners fill Result, Evidence, Evidence owner and Owner status. The stage lead then confirms or rejects each item. Yellow cells are for input; grey cells come from the template. The Flag column names any row that cannot yet be confirmed as filled in.</t>
  </si>
  <si>
    <t>ID</t>
  </si>
  <si>
    <t>Section</t>
  </si>
  <si>
    <t>Item</t>
  </si>
  <si>
    <t>Target / acceptance</t>
  </si>
  <si>
    <t>Result or measured value</t>
  </si>
  <si>
    <t>Evidence — link or file name</t>
  </si>
  <si>
    <t>Evidence owner</t>
  </si>
  <si>
    <t>Owner status</t>
  </si>
  <si>
    <t>Waiver ID</t>
  </si>
  <si>
    <t>Stage lead confirmation</t>
  </si>
  <si>
    <t>Stage lead comment</t>
  </si>
  <si>
    <t>Confirmed on</t>
  </si>
  <si>
    <t>Flag</t>
  </si>
  <si>
    <t>B-01</t>
  </si>
  <si>
    <t>Baseline</t>
  </si>
  <si>
    <t>Final database signed off (version and checksum)</t>
  </si>
  <si>
    <t>Version, tag or ID recorded</t>
  </si>
  <si>
    <t>Open</t>
  </si>
  <si>
    <t>Pending</t>
  </si>
  <si>
    <t>B-02</t>
  </si>
  <si>
    <t>Signoff deck versions per domain</t>
  </si>
  <si>
    <t>B-03</t>
  </si>
  <si>
    <t>Foundry waiver submission references</t>
  </si>
  <si>
    <t>E-01</t>
  </si>
  <si>
    <t>Entry criteria</t>
  </si>
  <si>
    <t>Signoff activities producing waiver candidates</t>
  </si>
  <si>
    <t>Met</t>
  </si>
  <si>
    <t>E-02</t>
  </si>
  <si>
    <t>Foundry waiver process understood from ETECH-03</t>
  </si>
  <si>
    <t>E-03</t>
  </si>
  <si>
    <t>Board membership named with authority to refuse</t>
  </si>
  <si>
    <t>C-01</t>
  </si>
  <si>
    <t>Checks</t>
  </si>
  <si>
    <t>Static timing — all corners and modes</t>
  </si>
  <si>
    <t>Signed off</t>
  </si>
  <si>
    <t>C-02</t>
  </si>
  <si>
    <t>DRC, LVS, antenna and density</t>
  </si>
  <si>
    <t>Clean or waived</t>
  </si>
  <si>
    <t>C-03</t>
  </si>
  <si>
    <t>EM / IR</t>
  </si>
  <si>
    <t>C-04</t>
  </si>
  <si>
    <t>ESD, latch-up and FIT</t>
  </si>
  <si>
    <t>C-05</t>
  </si>
  <si>
    <t>DFM and lithography hotspots</t>
  </si>
  <si>
    <t>C-06</t>
  </si>
  <si>
    <t>Signal integrity</t>
  </si>
  <si>
    <t>C-07</t>
  </si>
  <si>
    <t>Final formal equivalence</t>
  </si>
  <si>
    <t>Equivalent</t>
  </si>
  <si>
    <t>C-08</t>
  </si>
  <si>
    <t>Gate-level simulation with final SDF</t>
  </si>
  <si>
    <t>Passing</t>
  </si>
  <si>
    <t>C-09</t>
  </si>
  <si>
    <t>Leakage and sleep current against the budget</t>
  </si>
  <si>
    <t>Within budget</t>
  </si>
  <si>
    <t>X-01</t>
  </si>
  <si>
    <t>Exit criteria</t>
  </si>
  <si>
    <t>Every waiver has a root cause, a quantified risk and a signature</t>
  </si>
  <si>
    <t>X-02</t>
  </si>
  <si>
    <t>Foundry waivers submitted and answered before freeze</t>
  </si>
  <si>
    <t>X-03</t>
  </si>
  <si>
    <t>Residual risk summarized in one statement for the gate</t>
  </si>
  <si>
    <t>F-01</t>
  </si>
  <si>
    <t>Failure modes</t>
  </si>
  <si>
    <t>Waivers accumulated rather than reviewed. A register nobody dispositioned is a set of accepted risks nobody accepted.</t>
  </si>
  <si>
    <t>Addressed — say how in the result</t>
  </si>
  <si>
    <t>F-02</t>
  </si>
  <si>
    <t>Foundry waivers submitted late. Their review is on the foundry's schedule, and an unapproved waiver blocks mask release.</t>
  </si>
  <si>
    <t>F-03</t>
  </si>
  <si>
    <t>Risk quantified qualitatively. "Low risk" is not a basis for a tapeout decision; a stated failure mode and probability is.</t>
  </si>
  <si>
    <t>F-04</t>
  </si>
  <si>
    <t>Board without authority. A review that cannot refuse a waiver is a review that approves everything.</t>
  </si>
  <si>
    <t>F-05</t>
  </si>
  <si>
    <t>Residual risk not summarized. The Go / No-Go decision needs one statement of what is being accepted, not a register of two hundred entries.</t>
  </si>
  <si>
    <t>Open issues</t>
  </si>
  <si>
    <t>Anything that stops an item being confirmed. Link it to the checklist item it blocks. A Critical or High issue left Open blocks the sign-off.</t>
  </si>
  <si>
    <t>Issue ID</t>
  </si>
  <si>
    <t>Description</t>
  </si>
  <si>
    <t>Linked item ID</t>
  </si>
  <si>
    <t>Severity</t>
  </si>
  <si>
    <t>Owner</t>
  </si>
  <si>
    <t>Due</t>
  </si>
  <si>
    <t>Status</t>
  </si>
  <si>
    <t>Disposition</t>
  </si>
  <si>
    <t>Waivers</t>
  </si>
  <si>
    <t>Every item whose Owner status is Waived needs a row here, and every waiver needs an approver. A waiver without one blocks the sign-off.</t>
  </si>
  <si>
    <t>Check or rule waived</t>
  </si>
  <si>
    <t>Justification</t>
  </si>
  <si>
    <t>Risk accepted</t>
  </si>
  <si>
    <t>Condition or expiry</t>
  </si>
  <si>
    <t>Approved by</t>
  </si>
  <si>
    <t>Approved on</t>
  </si>
  <si>
    <t>Residual risk statement</t>
  </si>
  <si>
    <t>One statement for the gate: what risk the design is frozen with, and why it is accepted.</t>
  </si>
  <si>
    <t>Residual risk</t>
  </si>
  <si>
    <t>Accepted because</t>
  </si>
  <si>
    <t>Handover</t>
  </si>
  <si>
    <t>Who receives ESO-D7, and what they take from it. The receiving owner records receipt.</t>
  </si>
  <si>
    <t>Receiving activity</t>
  </si>
  <si>
    <t>What it takes from this deliverable</t>
  </si>
  <si>
    <t>Received by</t>
  </si>
  <si>
    <t>Received on</t>
  </si>
  <si>
    <t>ETO-03 — Tapeout Checklist Completion and Owner Signoff</t>
  </si>
  <si>
    <t>ETO-04 — Open-Issue Risk Assessment and Waiver Acceptance</t>
  </si>
  <si>
    <t>ETO-05 — Go / No-Go Decision Meeting</t>
  </si>
  <si>
    <t>EMP-12 — Production Readiness Review and Change Control (PCN) Setup</t>
  </si>
  <si>
    <t>How to use this workbook</t>
  </si>
  <si>
    <t>ESO-D7 is signed off on evidence, item by item. This sheet says who fills what.</t>
  </si>
  <si>
    <t>1. Owners</t>
  </si>
  <si>
    <t>On the Checklist, for each item: write the Result or measured value, the Evidence (a link to the report, dashboard or file name), who owns that evidence, and set Owner status. Waived needs a Waiver ID that exists on the Waivers sheet.</t>
  </si>
  <si>
    <t>2. Stage lead</t>
  </si>
  <si>
    <t>Review each item against its evidence. Set Stage lead confirmation to Confirmed, or Rejected with a comment saying what is missing. Date every confirmation.</t>
  </si>
  <si>
    <t>3. Flags</t>
  </si>
  <si>
    <t>The Flag column names any row that is not yet supported: evidence missing, a waiver without an ID, a rejection without a comment, a confirmation of a failing item, or an undated confirmation. Clear every flag.</t>
  </si>
  <si>
    <t>4. Issues and waivers</t>
  </si>
  <si>
    <t>Record anything blocking an item on Open issues, linked by item ID. A Critical or High issue left Open, or a waiver without an approver, holds the gate.</t>
  </si>
  <si>
    <t>5. Final decision</t>
  </si>
  <si>
    <t>The Sign-off sheet counts the Checklist and suggests an outcome. The stage lead records the Decision, any conditions, and the date. Each role then records its own decision.</t>
  </si>
  <si>
    <t>6. Handover</t>
  </si>
  <si>
    <t>Attach the completed workbook to this deliverable's Handover in AtlasPM and date the handover when it is accepted.</t>
  </si>
  <si>
    <t>Yellow cells</t>
  </si>
  <si>
    <t>Input — fill these in.</t>
  </si>
  <si>
    <t>Grey cells</t>
  </si>
  <si>
    <t>Given by the template from the activity write-up — do not edit.</t>
  </si>
  <si>
    <t>Pass — meets the target. Fail — does not. Waived — does not, and a waiver accepts it. N/A — does not apply, with the reason in Result. Open — not yet assessed.</t>
  </si>
  <si>
    <t>Lead confirmation</t>
  </si>
  <si>
    <t>Pending — not yet reviewed. Confirmed — the evidence supports the status. Rejected — it does not; the comment says why.</t>
  </si>
  <si>
    <t>Example row</t>
  </si>
  <si>
    <t>Macro pin timing — setup and hold, all signoff corners</t>
  </si>
  <si>
    <t>Target</t>
  </si>
  <si>
    <t>Within vendor limits, no negative slack</t>
  </si>
  <si>
    <t>Result</t>
  </si>
  <si>
    <t>Worst setup slack +42 ps (ss_0p72v_125c); worst hold +18 ps (ff_0p88v_m40c)</t>
  </si>
  <si>
    <t>Evidence</t>
  </si>
  <si>
    <t>sta/turn3/emram_pins_summary.rpt (run 2027-05-14)</t>
  </si>
  <si>
    <t>Timing closure lead</t>
  </si>
  <si>
    <t>Pass</t>
  </si>
  <si>
    <t>Confirmed — 2027-05-16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</si>
</sst>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9" x14ac:knownFonts="1">
    <font>
      <color theme="1"/>
      <family val="2"/>
      <scheme val="minor"/>
      <sz val="11"/>
      <name val="Calibri"/>
    </font>
    <font>
      <b/>
      <color rgb="FF1F2328"/>
      <sz val="14"/>
      <name val="Arial"/>
    </font>
    <font>
      <i/>
      <color rgb="FF6E7781"/>
      <sz val="9"/>
      <name val="Arial"/>
    </font>
    <font>
      <b/>
      <color rgb="FF5B5BD6"/>
      <sz val="11"/>
      <name val="Arial"/>
    </font>
    <font>
      <b/>
      <color rgb="FF1F2328"/>
      <sz val="9"/>
      <name val="Arial"/>
    </font>
    <font>
      <color rgb="FF1F2328"/>
      <sz val="10"/>
      <name val="Arial"/>
    </font>
    <font>
      <b/>
      <color rgb="FF1F2328"/>
      <sz val="10"/>
      <name val="Arial"/>
    </font>
    <font>
      <b/>
      <color rgb="FFCF222E"/>
      <sz val="10"/>
      <name val="Arial"/>
    </font>
    <font>
      <b/>
      <color rgb="FF5B5BD6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EEF0FB"/>
      </patternFill>
    </fill>
    <fill>
      <patternFill patternType="solid">
        <fgColor rgb="FFFFF8D6"/>
      </patternFill>
    </fill>
    <fill>
      <patternFill patternType="solid">
        <fgColor rgb="FFF6F8FA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4" fillId="2" borderId="1" xfId="0" applyFont="1" applyFill="1" applyBorder="1" applyAlignment="1">
      <alignment vertical="top" wrapText="1"/>
    </xf>
    <xf numFmtId="0" fontId="5" fillId="3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vertical="top" wrapText="1"/>
    </xf>
    <xf numFmtId="9" fontId="5" fillId="4" borderId="1" xfId="0" applyNumberFormat="1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7"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  <dxf>
      <fill>
        <patternFill patternType="solid">
          <bgColor rgb="FFFFEFC6"/>
        </patternFill>
      </fill>
    </dxf>
    <dxf>
      <fill>
        <patternFill patternType="solid">
          <bgColor rgb="FFDAFBE1"/>
        </patternFill>
      </fill>
    </dxf>
    <dxf>
      <fill>
        <patternFill patternType="solid">
          <bgColor rgb="FFFFD8D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42"/>
  <sheetViews>
    <sheetView workbookViewId="0" showGridLines="0"/>
  </sheetViews>
  <sheetFormatPr defaultRowHeight="15" outlineLevelRow="0" outlineLevelCol="0" x14ac:dyDescent="55"/>
  <cols>
    <col min="1" max="1" width="34" customWidth="1"/>
    <col min="2" max="2" width="22" customWidth="1"/>
    <col min="3" max="3" width="20" customWidth="1"/>
    <col min="4" max="4" width="18" customWidth="1"/>
    <col min="5" max="5" width="30" customWidth="1"/>
  </cols>
  <sheetData>
    <row r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/>
      <c r="C4" s="3"/>
      <c r="D4" s="3"/>
      <c r="E4" s="3"/>
    </row>
    <row r="5" spans="1:5" x14ac:dyDescent="0.25">
      <c r="A5" s="4" t="s">
        <v>3</v>
      </c>
      <c r="B5" s="5" t="s">
        <v>4</v>
      </c>
      <c r="C5" s="5"/>
      <c r="D5" s="5"/>
      <c r="E5" s="5"/>
    </row>
    <row r="6" spans="1:5" x14ac:dyDescent="0.25">
      <c r="A6" s="4" t="s">
        <v>5</v>
      </c>
      <c r="B6" s="6" t="s">
        <v>0</v>
      </c>
      <c r="C6" s="6"/>
      <c r="D6" s="6"/>
      <c r="E6" s="6"/>
    </row>
    <row r="7" spans="1:5" x14ac:dyDescent="0.25">
      <c r="A7" s="4" t="s">
        <v>6</v>
      </c>
      <c r="B7" s="6" t="s">
        <v>7</v>
      </c>
      <c r="C7" s="6"/>
      <c r="D7" s="6"/>
      <c r="E7" s="6"/>
    </row>
    <row r="8" spans="1:5" x14ac:dyDescent="0.25">
      <c r="A8" s="4" t="s">
        <v>8</v>
      </c>
      <c r="B8" s="6" t="s">
        <v>9</v>
      </c>
      <c r="C8" s="6"/>
      <c r="D8" s="6"/>
      <c r="E8" s="6"/>
    </row>
    <row r="9" spans="1:5" x14ac:dyDescent="0.25">
      <c r="A9" s="4" t="s">
        <v>10</v>
      </c>
      <c r="B9" s="6" t="s">
        <v>11</v>
      </c>
      <c r="C9" s="6"/>
      <c r="D9" s="6"/>
      <c r="E9" s="6"/>
    </row>
    <row r="10" spans="1:5" x14ac:dyDescent="0.25">
      <c r="A10" s="4" t="s">
        <v>12</v>
      </c>
      <c r="B10" s="5" t="s">
        <v>4</v>
      </c>
      <c r="C10" s="5"/>
      <c r="D10" s="5"/>
      <c r="E10" s="5"/>
    </row>
    <row r="11" spans="1:5" x14ac:dyDescent="0.25">
      <c r="A11" s="4" t="s">
        <v>13</v>
      </c>
      <c r="B11" s="7" t="s">
        <v>4</v>
      </c>
      <c r="C11" s="7"/>
      <c r="D11" s="7"/>
      <c r="E11" s="7"/>
    </row>
    <row r="13" spans="1:5" x14ac:dyDescent="0.25">
      <c r="A13" s="3" t="s">
        <v>14</v>
      </c>
      <c r="B13" s="3"/>
      <c r="C13" s="3"/>
      <c r="D13" s="3"/>
      <c r="E13" s="3"/>
    </row>
    <row r="14" spans="1:5" x14ac:dyDescent="0.25">
      <c r="A14" s="4" t="s">
        <v>15</v>
      </c>
      <c r="B14" s="6">
        <f>SUMPRODUCT(--(LEN(Checklist!$C$4:$C$36)&gt;0))</f>
        <v>23</v>
      </c>
      <c r="C14" s="6"/>
      <c r="D14" s="6"/>
      <c r="E14" s="6"/>
    </row>
    <row r="15" spans="1:5" x14ac:dyDescent="0.25">
      <c r="A15" s="4" t="s">
        <v>16</v>
      </c>
      <c r="B15" s="6">
        <f>COUNTIFS(Checklist!$C$4:$C$36,"&lt;&gt;",Checklist!$H$4:$H$36,"Pass")</f>
        <v>0</v>
      </c>
      <c r="C15" s="6"/>
      <c r="D15" s="6"/>
      <c r="E15" s="6"/>
    </row>
    <row r="16" spans="1:5" x14ac:dyDescent="0.25">
      <c r="A16" s="4" t="s">
        <v>17</v>
      </c>
      <c r="B16" s="6">
        <f>COUNTIFS(Checklist!$C$4:$C$36,"&lt;&gt;",Checklist!$H$4:$H$36,"Waived")</f>
        <v>0</v>
      </c>
      <c r="C16" s="6"/>
      <c r="D16" s="6"/>
      <c r="E16" s="6"/>
    </row>
    <row r="17" spans="1:5" x14ac:dyDescent="0.25">
      <c r="A17" s="4" t="s">
        <v>18</v>
      </c>
      <c r="B17" s="6">
        <f>COUNTIFS(Checklist!$C$4:$C$36,"&lt;&gt;",Checklist!$H$4:$H$36,"N/A")</f>
        <v>0</v>
      </c>
      <c r="C17" s="6"/>
      <c r="D17" s="6"/>
      <c r="E17" s="6"/>
    </row>
    <row r="18" spans="1:5" x14ac:dyDescent="0.25">
      <c r="A18" s="4" t="s">
        <v>19</v>
      </c>
      <c r="B18" s="6">
        <f>COUNTIFS(Checklist!$C$4:$C$36,"&lt;&gt;",Checklist!$H$4:$H$36,"Fail")</f>
        <v>0</v>
      </c>
      <c r="C18" s="6"/>
      <c r="D18" s="6"/>
      <c r="E18" s="6"/>
    </row>
    <row r="19" spans="1:5" x14ac:dyDescent="0.25">
      <c r="A19" s="4" t="s">
        <v>20</v>
      </c>
      <c r="B19" s="6">
        <f>COUNTIFS(Checklist!$C$4:$C$36,"&lt;&gt;",Checklist!$H$4:$H$36,"Open")+COUNTIFS(Checklist!$C$4:$C$36,"&lt;&gt;",Checklist!$H$4:$H$36,"")</f>
        <v>23</v>
      </c>
      <c r="C19" s="6"/>
      <c r="D19" s="6"/>
      <c r="E19" s="6"/>
    </row>
    <row r="20" spans="1:5" x14ac:dyDescent="0.25">
      <c r="A20" s="4" t="s">
        <v>21</v>
      </c>
      <c r="B20" s="6">
        <f>COUNTIFS(Checklist!$C$4:$C$36,"&lt;&gt;",Checklist!$J$4:$J$36,"Confirmed")</f>
        <v>0</v>
      </c>
      <c r="C20" s="6"/>
      <c r="D20" s="6"/>
      <c r="E20" s="6"/>
    </row>
    <row r="21" spans="1:5" x14ac:dyDescent="0.25">
      <c r="A21" s="4" t="s">
        <v>22</v>
      </c>
      <c r="B21" s="6">
        <f>COUNTIFS(Checklist!$C$4:$C$36,"&lt;&gt;",Checklist!$J$4:$J$36,"Rejected")</f>
        <v>0</v>
      </c>
      <c r="C21" s="6"/>
      <c r="D21" s="6"/>
      <c r="E21" s="6"/>
    </row>
    <row r="22" spans="1:5" x14ac:dyDescent="0.25">
      <c r="A22" s="4" t="s">
        <v>23</v>
      </c>
      <c r="B22" s="6">
        <f>COUNTIFS(Checklist!$C$4:$C$36,"&lt;&gt;",Checklist!$J$4:$J$36,"Pending")+COUNTIFS(Checklist!$C$4:$C$36,"&lt;&gt;",Checklist!$J$4:$J$36,"")</f>
        <v>23</v>
      </c>
      <c r="C22" s="6"/>
      <c r="D22" s="6"/>
      <c r="E22" s="6"/>
    </row>
    <row r="23" spans="1:5" x14ac:dyDescent="0.25">
      <c r="A23" s="4" t="s">
        <v>24</v>
      </c>
      <c r="B23" s="8">
        <f>IF(B14=0,0,B20/B14)</f>
        <v>0</v>
      </c>
      <c r="C23" s="8"/>
      <c r="D23" s="8"/>
      <c r="E23" s="8"/>
    </row>
    <row r="24" spans="1:5" x14ac:dyDescent="0.25">
      <c r="A24" s="4" t="s">
        <v>25</v>
      </c>
      <c r="B24" s="6">
        <f>SUMPRODUCT(--(LEN(Checklist!$M$4:$M$36)&gt;0))</f>
        <v>0</v>
      </c>
      <c r="C24" s="6"/>
      <c r="D24" s="6"/>
      <c r="E24" s="6"/>
    </row>
    <row r="25" spans="1:5" x14ac:dyDescent="0.25">
      <c r="A25" s="4" t="s">
        <v>26</v>
      </c>
      <c r="B25" s="6">
        <f>COUNTIFS('Open issues'!$D$4:$D$43,"Critical",'Open issues'!$G$4:$G$43,"Open")+COUNTIFS('Open issues'!$D$4:$D$43,"High",'Open issues'!$G$4:$G$43,"Open")</f>
        <v>0</v>
      </c>
      <c r="C25" s="6"/>
      <c r="D25" s="6"/>
      <c r="E25" s="6"/>
    </row>
    <row r="26" spans="1:5" x14ac:dyDescent="0.25">
      <c r="A26" s="4" t="s">
        <v>27</v>
      </c>
      <c r="B26" s="6">
        <f>COUNTIFS(Waivers!$A$4:$A$33,"&lt;&gt;",Waivers!$G$4:$G$33,"")</f>
        <v>0</v>
      </c>
      <c r="C26" s="6"/>
      <c r="D26" s="6"/>
      <c r="E26" s="6"/>
    </row>
    <row r="27" spans="1:5" x14ac:dyDescent="0.25">
      <c r="A27" s="4" t="s">
        <v>28</v>
      </c>
      <c r="B27" s="9" t="str">
        <f>IF(OR(B18&gt;0,B21&gt;0,B25&gt;0),"Not ready — blocking items",IF(AND(B14&gt;0,B20=B14,B24=0,B26=0),"Ready to sign off","In review"))</f>
        <v>In review</v>
      </c>
      <c r="C27" s="9"/>
      <c r="D27" s="9"/>
      <c r="E27" s="9"/>
    </row>
    <row r="29" spans="1:5" x14ac:dyDescent="0.25">
      <c r="A29" s="3" t="s">
        <v>29</v>
      </c>
      <c r="B29" s="3"/>
      <c r="C29" s="3"/>
      <c r="D29" s="3"/>
      <c r="E29" s="3"/>
    </row>
    <row r="30" spans="1:5" x14ac:dyDescent="0.25">
      <c r="A30" s="4" t="s">
        <v>30</v>
      </c>
      <c r="B30" s="10" t="s">
        <v>4</v>
      </c>
      <c r="C30" s="10"/>
      <c r="D30" s="10"/>
      <c r="E30" s="10"/>
    </row>
    <row r="31" spans="1:5" x14ac:dyDescent="0.25">
      <c r="A31" s="4" t="s">
        <v>31</v>
      </c>
      <c r="B31" s="5" t="s">
        <v>4</v>
      </c>
      <c r="C31" s="5"/>
      <c r="D31" s="5"/>
      <c r="E31" s="5"/>
    </row>
    <row r="32" spans="1:5" x14ac:dyDescent="0.25">
      <c r="A32" s="4" t="s">
        <v>32</v>
      </c>
      <c r="B32" s="5" t="s">
        <v>4</v>
      </c>
      <c r="C32" s="5"/>
      <c r="D32" s="5"/>
      <c r="E32" s="5"/>
    </row>
    <row r="33" spans="1:5" x14ac:dyDescent="0.25">
      <c r="A33" s="4" t="s">
        <v>33</v>
      </c>
      <c r="B33" s="7" t="s">
        <v>4</v>
      </c>
      <c r="C33" s="7"/>
      <c r="D33" s="7"/>
      <c r="E33" s="7"/>
    </row>
    <row r="34" spans="1:5" x14ac:dyDescent="0.25">
      <c r="A34" s="4" t="s">
        <v>34</v>
      </c>
      <c r="B34" s="11" t="str">
        <f>IF(AND(B30="Signed off",B27&lt;&gt;"Ready to sign off"),"Signed off while the checklist is not ready — record the reason in Conditions","")</f>
        <v/>
      </c>
      <c r="C34" s="11"/>
      <c r="D34" s="11"/>
      <c r="E34" s="11"/>
    </row>
    <row r="36" spans="1:5" x14ac:dyDescent="0.25">
      <c r="A36" s="3" t="s">
        <v>35</v>
      </c>
      <c r="B36" s="3"/>
      <c r="C36" s="3"/>
      <c r="D36" s="3"/>
      <c r="E36" s="3"/>
    </row>
    <row r="37" spans="1:5" x14ac:dyDescent="0.25">
      <c r="A37" s="4" t="s">
        <v>36</v>
      </c>
      <c r="B37" s="4" t="s">
        <v>37</v>
      </c>
      <c r="C37" s="4" t="s">
        <v>30</v>
      </c>
      <c r="D37" s="4" t="s">
        <v>38</v>
      </c>
      <c r="E37" s="4" t="s">
        <v>39</v>
      </c>
    </row>
    <row r="38" spans="1:5" x14ac:dyDescent="0.25">
      <c r="A38" s="6" t="s">
        <v>11</v>
      </c>
      <c r="B38" s="5"/>
      <c r="C38" s="5"/>
      <c r="D38" s="7"/>
      <c r="E38" s="5"/>
    </row>
    <row r="39" spans="1:5" x14ac:dyDescent="0.25">
      <c r="A39" s="6" t="s">
        <v>40</v>
      </c>
      <c r="B39" s="5"/>
      <c r="C39" s="5"/>
      <c r="D39" s="7"/>
      <c r="E39" s="5"/>
    </row>
    <row r="40" spans="1:5" x14ac:dyDescent="0.25">
      <c r="A40" s="6" t="s">
        <v>41</v>
      </c>
      <c r="B40" s="5"/>
      <c r="C40" s="5"/>
      <c r="D40" s="7"/>
      <c r="E40" s="5"/>
    </row>
    <row r="41" spans="1:5" x14ac:dyDescent="0.25">
      <c r="A41" s="6" t="s">
        <v>42</v>
      </c>
      <c r="B41" s="5"/>
      <c r="C41" s="5"/>
      <c r="D41" s="7"/>
      <c r="E41" s="5"/>
    </row>
    <row r="42" spans="1:5" x14ac:dyDescent="0.25">
      <c r="A42" s="6" t="s">
        <v>43</v>
      </c>
      <c r="B42" s="5"/>
      <c r="C42" s="5"/>
      <c r="D42" s="7"/>
      <c r="E42" s="5"/>
    </row>
  </sheetData>
  <mergeCells count="32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B11:E11"/>
    <mergeCell ref="A13:E13"/>
    <mergeCell ref="B14:E14"/>
    <mergeCell ref="B15:E15"/>
    <mergeCell ref="B16:E16"/>
    <mergeCell ref="B17:E17"/>
    <mergeCell ref="B18:E18"/>
    <mergeCell ref="B19:E19"/>
    <mergeCell ref="B20:E20"/>
    <mergeCell ref="B21:E21"/>
    <mergeCell ref="B22:E22"/>
    <mergeCell ref="B23:E23"/>
    <mergeCell ref="B24:E24"/>
    <mergeCell ref="B25:E25"/>
    <mergeCell ref="B26:E26"/>
    <mergeCell ref="B27:E27"/>
    <mergeCell ref="A29:E29"/>
    <mergeCell ref="B30:E30"/>
    <mergeCell ref="B31:E31"/>
    <mergeCell ref="B32:E32"/>
    <mergeCell ref="B33:E33"/>
    <mergeCell ref="B34:E34"/>
    <mergeCell ref="A36:E36"/>
  </mergeCells>
  <conditionalFormatting sqref="B27">
    <cfRule type="containsText" dxfId="0" priority="1">
      <formula>NOT(ISERROR(SEARCH("Ready",B27)))</formula>
    </cfRule>
    <cfRule type="containsText" dxfId="1" priority="2">
      <formula>NOT(ISERROR(SEARCH("Not ready",B27)))</formula>
    </cfRule>
  </conditionalFormatting>
  <dataValidations count="5">
    <dataValidation type="date" operator="greaterThan" allowBlank="1" showErrorMessage="1" error="A date, e.g. 2027-03-15" sqref="B11">
      <formula1>43831</formula1>
    </dataValidation>
    <dataValidation type="list" allowBlank="1" showErrorMessage="1" errorTitle="Pick from the list" error="One of: Signed off, Signed off with conditions, Not signed off" sqref="B30">
      <formula1>"Signed off,Signed off with conditions,Not signed off"</formula1>
    </dataValidation>
    <dataValidation type="date" operator="greaterThan" allowBlank="1" showErrorMessage="1" error="A date, e.g. 2027-03-15" sqref="B33">
      <formula1>43831</formula1>
    </dataValidation>
    <dataValidation type="list" allowBlank="1" showErrorMessage="1" errorTitle="Pick from the list" error="One of: Approve, Approve with conditions, Reject" sqref="C38:C42">
      <formula1>"Approve,Approve with conditions,Reject"</formula1>
    </dataValidation>
    <dataValidation type="date" operator="greaterThan" allowBlank="1" showErrorMessage="1" error="A date, e.g. 2027-03-15" sqref="D38:D42">
      <formula1>43831</formula1>
    </dataValidation>
  </dataValidations>
  <pageSetup paperSize="9" orientation="portrait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6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3" max="3" width="46" customWidth="1"/>
    <col min="4" max="4" width="26" customWidth="1"/>
    <col min="5" max="5" width="28" customWidth="1"/>
    <col min="6" max="6" width="30" customWidth="1"/>
    <col min="7" max="7" width="16" customWidth="1"/>
    <col min="8" max="8" width="12" customWidth="1"/>
    <col min="9" max="9" width="10" customWidth="1"/>
    <col min="10" max="10" width="14" customWidth="1"/>
    <col min="11" max="11" width="28" customWidth="1"/>
    <col min="12" max="12" width="12" customWidth="1"/>
    <col min="13" max="13" width="26" customWidth="1"/>
  </cols>
  <sheetData>
    <row r="1" spans="1:13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1:13" x14ac:dyDescent="0.25">
      <c r="A2" s="2" t="s">
        <v>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30" customHeight="1" spans="1:13" x14ac:dyDescent="0.25">
      <c r="A3" s="4" t="s">
        <v>46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  <c r="G3" s="4" t="s">
        <v>52</v>
      </c>
      <c r="H3" s="4" t="s">
        <v>53</v>
      </c>
      <c r="I3" s="4" t="s">
        <v>54</v>
      </c>
      <c r="J3" s="4" t="s">
        <v>55</v>
      </c>
      <c r="K3" s="4" t="s">
        <v>56</v>
      </c>
      <c r="L3" s="4" t="s">
        <v>57</v>
      </c>
      <c r="M3" s="4" t="s">
        <v>58</v>
      </c>
    </row>
    <row r="4" spans="1:13" x14ac:dyDescent="0.25">
      <c r="A4" s="9" t="s">
        <v>59</v>
      </c>
      <c r="B4" s="6" t="s">
        <v>60</v>
      </c>
      <c r="C4" s="6" t="s">
        <v>61</v>
      </c>
      <c r="D4" s="6" t="s">
        <v>62</v>
      </c>
      <c r="E4" s="5"/>
      <c r="F4" s="5"/>
      <c r="G4" s="5"/>
      <c r="H4" s="5" t="s">
        <v>63</v>
      </c>
      <c r="I4" s="5"/>
      <c r="J4" s="5" t="s">
        <v>64</v>
      </c>
      <c r="K4" s="5"/>
      <c r="L4" s="7"/>
      <c r="M4" s="12" t="str">
        <f>IF(C4="","",IF(AND(J4="Confirmed",F4=""),"Evidence missing",IF(AND(H4="Waived",I4=""),"Waiver ID missing",IF(AND(J4="Rejected",K4=""),"Comment required",IF(AND(J4="Confirmed",OR(H4="Fail",H4="Open",H4="")),"Confirmed without a passing status",IF(AND(J4="Confirmed",L4=""),"Date missing",""))))))</f>
        <v/>
      </c>
    </row>
    <row r="5" spans="1:13" x14ac:dyDescent="0.25">
      <c r="A5" s="9" t="s">
        <v>65</v>
      </c>
      <c r="B5" s="6" t="s">
        <v>60</v>
      </c>
      <c r="C5" s="6" t="s">
        <v>66</v>
      </c>
      <c r="D5" s="6" t="s">
        <v>62</v>
      </c>
      <c r="E5" s="5"/>
      <c r="F5" s="5"/>
      <c r="G5" s="5"/>
      <c r="H5" s="5" t="s">
        <v>63</v>
      </c>
      <c r="I5" s="5"/>
      <c r="J5" s="5" t="s">
        <v>64</v>
      </c>
      <c r="K5" s="5"/>
      <c r="L5" s="7"/>
      <c r="M5" s="12" t="str">
        <f>IF(C5="","",IF(AND(J5="Confirmed",F5=""),"Evidence missing",IF(AND(H5="Waived",I5=""),"Waiver ID missing",IF(AND(J5="Rejected",K5=""),"Comment required",IF(AND(J5="Confirmed",OR(H5="Fail",H5="Open",H5="")),"Confirmed without a passing status",IF(AND(J5="Confirmed",L5=""),"Date missing",""))))))</f>
        <v/>
      </c>
    </row>
    <row r="6" spans="1:13" x14ac:dyDescent="0.25">
      <c r="A6" s="9" t="s">
        <v>67</v>
      </c>
      <c r="B6" s="6" t="s">
        <v>60</v>
      </c>
      <c r="C6" s="6" t="s">
        <v>68</v>
      </c>
      <c r="D6" s="6" t="s">
        <v>62</v>
      </c>
      <c r="E6" s="5"/>
      <c r="F6" s="5"/>
      <c r="G6" s="5"/>
      <c r="H6" s="5" t="s">
        <v>63</v>
      </c>
      <c r="I6" s="5"/>
      <c r="J6" s="5" t="s">
        <v>64</v>
      </c>
      <c r="K6" s="5"/>
      <c r="L6" s="7"/>
      <c r="M6" s="12" t="str">
        <f>IF(C6="","",IF(AND(J6="Confirmed",F6=""),"Evidence missing",IF(AND(H6="Waived",I6=""),"Waiver ID missing",IF(AND(J6="Rejected",K6=""),"Comment required",IF(AND(J6="Confirmed",OR(H6="Fail",H6="Open",H6="")),"Confirmed without a passing status",IF(AND(J6="Confirmed",L6=""),"Date missing",""))))))</f>
        <v/>
      </c>
    </row>
    <row r="7" spans="1:13" x14ac:dyDescent="0.25">
      <c r="A7" s="9" t="s">
        <v>69</v>
      </c>
      <c r="B7" s="6" t="s">
        <v>70</v>
      </c>
      <c r="C7" s="6" t="s">
        <v>71</v>
      </c>
      <c r="D7" s="6" t="s">
        <v>72</v>
      </c>
      <c r="E7" s="5"/>
      <c r="F7" s="5"/>
      <c r="G7" s="5"/>
      <c r="H7" s="5" t="s">
        <v>63</v>
      </c>
      <c r="I7" s="5"/>
      <c r="J7" s="5" t="s">
        <v>64</v>
      </c>
      <c r="K7" s="5"/>
      <c r="L7" s="7"/>
      <c r="M7" s="12" t="str">
        <f>IF(C7="","",IF(AND(J7="Confirmed",F7=""),"Evidence missing",IF(AND(H7="Waived",I7=""),"Waiver ID missing",IF(AND(J7="Rejected",K7=""),"Comment required",IF(AND(J7="Confirmed",OR(H7="Fail",H7="Open",H7="")),"Confirmed without a passing status",IF(AND(J7="Confirmed",L7=""),"Date missing",""))))))</f>
        <v/>
      </c>
    </row>
    <row r="8" spans="1:13" x14ac:dyDescent="0.25">
      <c r="A8" s="9" t="s">
        <v>73</v>
      </c>
      <c r="B8" s="6" t="s">
        <v>70</v>
      </c>
      <c r="C8" s="6" t="s">
        <v>74</v>
      </c>
      <c r="D8" s="6" t="s">
        <v>72</v>
      </c>
      <c r="E8" s="5"/>
      <c r="F8" s="5"/>
      <c r="G8" s="5"/>
      <c r="H8" s="5" t="s">
        <v>63</v>
      </c>
      <c r="I8" s="5"/>
      <c r="J8" s="5" t="s">
        <v>64</v>
      </c>
      <c r="K8" s="5"/>
      <c r="L8" s="7"/>
      <c r="M8" s="12" t="str">
        <f>IF(C8="","",IF(AND(J8="Confirmed",F8=""),"Evidence missing",IF(AND(H8="Waived",I8=""),"Waiver ID missing",IF(AND(J8="Rejected",K8=""),"Comment required",IF(AND(J8="Confirmed",OR(H8="Fail",H8="Open",H8="")),"Confirmed without a passing status",IF(AND(J8="Confirmed",L8=""),"Date missing",""))))))</f>
        <v/>
      </c>
    </row>
    <row r="9" spans="1:13" x14ac:dyDescent="0.25">
      <c r="A9" s="9" t="s">
        <v>75</v>
      </c>
      <c r="B9" s="6" t="s">
        <v>70</v>
      </c>
      <c r="C9" s="6" t="s">
        <v>76</v>
      </c>
      <c r="D9" s="6" t="s">
        <v>72</v>
      </c>
      <c r="E9" s="5"/>
      <c r="F9" s="5"/>
      <c r="G9" s="5"/>
      <c r="H9" s="5" t="s">
        <v>63</v>
      </c>
      <c r="I9" s="5"/>
      <c r="J9" s="5" t="s">
        <v>64</v>
      </c>
      <c r="K9" s="5"/>
      <c r="L9" s="7"/>
      <c r="M9" s="12" t="str">
        <f>IF(C9="","",IF(AND(J9="Confirmed",F9=""),"Evidence missing",IF(AND(H9="Waived",I9=""),"Waiver ID missing",IF(AND(J9="Rejected",K9=""),"Comment required",IF(AND(J9="Confirmed",OR(H9="Fail",H9="Open",H9="")),"Confirmed without a passing status",IF(AND(J9="Confirmed",L9=""),"Date missing",""))))))</f>
        <v/>
      </c>
    </row>
    <row r="10" spans="1:13" x14ac:dyDescent="0.25">
      <c r="A10" s="9" t="s">
        <v>77</v>
      </c>
      <c r="B10" s="6" t="s">
        <v>78</v>
      </c>
      <c r="C10" s="6" t="s">
        <v>79</v>
      </c>
      <c r="D10" s="6" t="s">
        <v>80</v>
      </c>
      <c r="E10" s="5"/>
      <c r="F10" s="5"/>
      <c r="G10" s="5"/>
      <c r="H10" s="5" t="s">
        <v>63</v>
      </c>
      <c r="I10" s="5"/>
      <c r="J10" s="5" t="s">
        <v>64</v>
      </c>
      <c r="K10" s="5"/>
      <c r="L10" s="7"/>
      <c r="M10" s="12" t="str">
        <f>IF(C10="","",IF(AND(J10="Confirmed",F10=""),"Evidence missing",IF(AND(H10="Waived",I10=""),"Waiver ID missing",IF(AND(J10="Rejected",K10=""),"Comment required",IF(AND(J10="Confirmed",OR(H10="Fail",H10="Open",H10="")),"Confirmed without a passing status",IF(AND(J10="Confirmed",L10=""),"Date missing",""))))))</f>
        <v/>
      </c>
    </row>
    <row r="11" spans="1:13" x14ac:dyDescent="0.25">
      <c r="A11" s="9" t="s">
        <v>81</v>
      </c>
      <c r="B11" s="6" t="s">
        <v>78</v>
      </c>
      <c r="C11" s="6" t="s">
        <v>82</v>
      </c>
      <c r="D11" s="6" t="s">
        <v>83</v>
      </c>
      <c r="E11" s="5"/>
      <c r="F11" s="5"/>
      <c r="G11" s="5"/>
      <c r="H11" s="5" t="s">
        <v>63</v>
      </c>
      <c r="I11" s="5"/>
      <c r="J11" s="5" t="s">
        <v>64</v>
      </c>
      <c r="K11" s="5"/>
      <c r="L11" s="7"/>
      <c r="M11" s="12" t="str">
        <f>IF(C11="","",IF(AND(J11="Confirmed",F11=""),"Evidence missing",IF(AND(H11="Waived",I11=""),"Waiver ID missing",IF(AND(J11="Rejected",K11=""),"Comment required",IF(AND(J11="Confirmed",OR(H11="Fail",H11="Open",H11="")),"Confirmed without a passing status",IF(AND(J11="Confirmed",L11=""),"Date missing",""))))))</f>
        <v/>
      </c>
    </row>
    <row r="12" spans="1:13" x14ac:dyDescent="0.25">
      <c r="A12" s="9" t="s">
        <v>84</v>
      </c>
      <c r="B12" s="6" t="s">
        <v>78</v>
      </c>
      <c r="C12" s="6" t="s">
        <v>85</v>
      </c>
      <c r="D12" s="6" t="s">
        <v>80</v>
      </c>
      <c r="E12" s="5"/>
      <c r="F12" s="5"/>
      <c r="G12" s="5"/>
      <c r="H12" s="5" t="s">
        <v>63</v>
      </c>
      <c r="I12" s="5"/>
      <c r="J12" s="5" t="s">
        <v>64</v>
      </c>
      <c r="K12" s="5"/>
      <c r="L12" s="7"/>
      <c r="M12" s="12" t="str">
        <f>IF(C12="","",IF(AND(J12="Confirmed",F12=""),"Evidence missing",IF(AND(H12="Waived",I12=""),"Waiver ID missing",IF(AND(J12="Rejected",K12=""),"Comment required",IF(AND(J12="Confirmed",OR(H12="Fail",H12="Open",H12="")),"Confirmed without a passing status",IF(AND(J12="Confirmed",L12=""),"Date missing",""))))))</f>
        <v/>
      </c>
    </row>
    <row r="13" spans="1:13" x14ac:dyDescent="0.25">
      <c r="A13" s="9" t="s">
        <v>86</v>
      </c>
      <c r="B13" s="6" t="s">
        <v>78</v>
      </c>
      <c r="C13" s="6" t="s">
        <v>87</v>
      </c>
      <c r="D13" s="6" t="s">
        <v>80</v>
      </c>
      <c r="E13" s="5"/>
      <c r="F13" s="5"/>
      <c r="G13" s="5"/>
      <c r="H13" s="5" t="s">
        <v>63</v>
      </c>
      <c r="I13" s="5"/>
      <c r="J13" s="5" t="s">
        <v>64</v>
      </c>
      <c r="K13" s="5"/>
      <c r="L13" s="7"/>
      <c r="M13" s="12" t="str">
        <f>IF(C13="","",IF(AND(J13="Confirmed",F13=""),"Evidence missing",IF(AND(H13="Waived",I13=""),"Waiver ID missing",IF(AND(J13="Rejected",K13=""),"Comment required",IF(AND(J13="Confirmed",OR(H13="Fail",H13="Open",H13="")),"Confirmed without a passing status",IF(AND(J13="Confirmed",L13=""),"Date missing",""))))))</f>
        <v/>
      </c>
    </row>
    <row r="14" spans="1:13" x14ac:dyDescent="0.25">
      <c r="A14" s="9" t="s">
        <v>88</v>
      </c>
      <c r="B14" s="6" t="s">
        <v>78</v>
      </c>
      <c r="C14" s="6" t="s">
        <v>89</v>
      </c>
      <c r="D14" s="6" t="s">
        <v>80</v>
      </c>
      <c r="E14" s="5"/>
      <c r="F14" s="5"/>
      <c r="G14" s="5"/>
      <c r="H14" s="5" t="s">
        <v>63</v>
      </c>
      <c r="I14" s="5"/>
      <c r="J14" s="5" t="s">
        <v>64</v>
      </c>
      <c r="K14" s="5"/>
      <c r="L14" s="7"/>
      <c r="M14" s="12" t="str">
        <f>IF(C14="","",IF(AND(J14="Confirmed",F14=""),"Evidence missing",IF(AND(H14="Waived",I14=""),"Waiver ID missing",IF(AND(J14="Rejected",K14=""),"Comment required",IF(AND(J14="Confirmed",OR(H14="Fail",H14="Open",H14="")),"Confirmed without a passing status",IF(AND(J14="Confirmed",L14=""),"Date missing",""))))))</f>
        <v/>
      </c>
    </row>
    <row r="15" spans="1:13" x14ac:dyDescent="0.25">
      <c r="A15" s="9" t="s">
        <v>90</v>
      </c>
      <c r="B15" s="6" t="s">
        <v>78</v>
      </c>
      <c r="C15" s="6" t="s">
        <v>91</v>
      </c>
      <c r="D15" s="6" t="s">
        <v>80</v>
      </c>
      <c r="E15" s="5"/>
      <c r="F15" s="5"/>
      <c r="G15" s="5"/>
      <c r="H15" s="5" t="s">
        <v>63</v>
      </c>
      <c r="I15" s="5"/>
      <c r="J15" s="5" t="s">
        <v>64</v>
      </c>
      <c r="K15" s="5"/>
      <c r="L15" s="7"/>
      <c r="M15" s="12" t="str">
        <f>IF(C15="","",IF(AND(J15="Confirmed",F15=""),"Evidence missing",IF(AND(H15="Waived",I15=""),"Waiver ID missing",IF(AND(J15="Rejected",K15=""),"Comment required",IF(AND(J15="Confirmed",OR(H15="Fail",H15="Open",H15="")),"Confirmed without a passing status",IF(AND(J15="Confirmed",L15=""),"Date missing",""))))))</f>
        <v/>
      </c>
    </row>
    <row r="16" spans="1:13" x14ac:dyDescent="0.25">
      <c r="A16" s="9" t="s">
        <v>92</v>
      </c>
      <c r="B16" s="6" t="s">
        <v>78</v>
      </c>
      <c r="C16" s="6" t="s">
        <v>93</v>
      </c>
      <c r="D16" s="6" t="s">
        <v>94</v>
      </c>
      <c r="E16" s="5"/>
      <c r="F16" s="5"/>
      <c r="G16" s="5"/>
      <c r="H16" s="5" t="s">
        <v>63</v>
      </c>
      <c r="I16" s="5"/>
      <c r="J16" s="5" t="s">
        <v>64</v>
      </c>
      <c r="K16" s="5"/>
      <c r="L16" s="7"/>
      <c r="M16" s="12" t="str">
        <f>IF(C16="","",IF(AND(J16="Confirmed",F16=""),"Evidence missing",IF(AND(H16="Waived",I16=""),"Waiver ID missing",IF(AND(J16="Rejected",K16=""),"Comment required",IF(AND(J16="Confirmed",OR(H16="Fail",H16="Open",H16="")),"Confirmed without a passing status",IF(AND(J16="Confirmed",L16=""),"Date missing",""))))))</f>
        <v/>
      </c>
    </row>
    <row r="17" spans="1:13" x14ac:dyDescent="0.25">
      <c r="A17" s="9" t="s">
        <v>95</v>
      </c>
      <c r="B17" s="6" t="s">
        <v>78</v>
      </c>
      <c r="C17" s="6" t="s">
        <v>96</v>
      </c>
      <c r="D17" s="6" t="s">
        <v>97</v>
      </c>
      <c r="E17" s="5"/>
      <c r="F17" s="5"/>
      <c r="G17" s="5"/>
      <c r="H17" s="5" t="s">
        <v>63</v>
      </c>
      <c r="I17" s="5"/>
      <c r="J17" s="5" t="s">
        <v>64</v>
      </c>
      <c r="K17" s="5"/>
      <c r="L17" s="7"/>
      <c r="M17" s="12" t="str">
        <f>IF(C17="","",IF(AND(J17="Confirmed",F17=""),"Evidence missing",IF(AND(H17="Waived",I17=""),"Waiver ID missing",IF(AND(J17="Rejected",K17=""),"Comment required",IF(AND(J17="Confirmed",OR(H17="Fail",H17="Open",H17="")),"Confirmed without a passing status",IF(AND(J17="Confirmed",L17=""),"Date missing",""))))))</f>
        <v/>
      </c>
    </row>
    <row r="18" spans="1:13" x14ac:dyDescent="0.25">
      <c r="A18" s="9" t="s">
        <v>98</v>
      </c>
      <c r="B18" s="6" t="s">
        <v>78</v>
      </c>
      <c r="C18" s="6" t="s">
        <v>99</v>
      </c>
      <c r="D18" s="6" t="s">
        <v>100</v>
      </c>
      <c r="E18" s="5"/>
      <c r="F18" s="5"/>
      <c r="G18" s="5"/>
      <c r="H18" s="5" t="s">
        <v>63</v>
      </c>
      <c r="I18" s="5"/>
      <c r="J18" s="5" t="s">
        <v>64</v>
      </c>
      <c r="K18" s="5"/>
      <c r="L18" s="7"/>
      <c r="M18" s="12" t="str">
        <f>IF(C18="","",IF(AND(J18="Confirmed",F18=""),"Evidence missing",IF(AND(H18="Waived",I18=""),"Waiver ID missing",IF(AND(J18="Rejected",K18=""),"Comment required",IF(AND(J18="Confirmed",OR(H18="Fail",H18="Open",H18="")),"Confirmed without a passing status",IF(AND(J18="Confirmed",L18=""),"Date missing",""))))))</f>
        <v/>
      </c>
    </row>
    <row r="19" spans="1:13" x14ac:dyDescent="0.25">
      <c r="A19" s="9" t="s">
        <v>101</v>
      </c>
      <c r="B19" s="6" t="s">
        <v>102</v>
      </c>
      <c r="C19" s="6" t="s">
        <v>103</v>
      </c>
      <c r="D19" s="6" t="s">
        <v>72</v>
      </c>
      <c r="E19" s="5"/>
      <c r="F19" s="5"/>
      <c r="G19" s="5"/>
      <c r="H19" s="5" t="s">
        <v>63</v>
      </c>
      <c r="I19" s="5"/>
      <c r="J19" s="5" t="s">
        <v>64</v>
      </c>
      <c r="K19" s="5"/>
      <c r="L19" s="7"/>
      <c r="M19" s="12" t="str">
        <f>IF(C19="","",IF(AND(J19="Confirmed",F19=""),"Evidence missing",IF(AND(H19="Waived",I19=""),"Waiver ID missing",IF(AND(J19="Rejected",K19=""),"Comment required",IF(AND(J19="Confirmed",OR(H19="Fail",H19="Open",H19="")),"Confirmed without a passing status",IF(AND(J19="Confirmed",L19=""),"Date missing",""))))))</f>
        <v/>
      </c>
    </row>
    <row r="20" spans="1:13" x14ac:dyDescent="0.25">
      <c r="A20" s="9" t="s">
        <v>104</v>
      </c>
      <c r="B20" s="6" t="s">
        <v>102</v>
      </c>
      <c r="C20" s="6" t="s">
        <v>105</v>
      </c>
      <c r="D20" s="6" t="s">
        <v>72</v>
      </c>
      <c r="E20" s="5"/>
      <c r="F20" s="5"/>
      <c r="G20" s="5"/>
      <c r="H20" s="5" t="s">
        <v>63</v>
      </c>
      <c r="I20" s="5"/>
      <c r="J20" s="5" t="s">
        <v>64</v>
      </c>
      <c r="K20" s="5"/>
      <c r="L20" s="7"/>
      <c r="M20" s="12" t="str">
        <f>IF(C20="","",IF(AND(J20="Confirmed",F20=""),"Evidence missing",IF(AND(H20="Waived",I20=""),"Waiver ID missing",IF(AND(J20="Rejected",K20=""),"Comment required",IF(AND(J20="Confirmed",OR(H20="Fail",H20="Open",H20="")),"Confirmed without a passing status",IF(AND(J20="Confirmed",L20=""),"Date missing",""))))))</f>
        <v/>
      </c>
    </row>
    <row r="21" spans="1:13" x14ac:dyDescent="0.25">
      <c r="A21" s="9" t="s">
        <v>106</v>
      </c>
      <c r="B21" s="6" t="s">
        <v>102</v>
      </c>
      <c r="C21" s="6" t="s">
        <v>107</v>
      </c>
      <c r="D21" s="6" t="s">
        <v>72</v>
      </c>
      <c r="E21" s="5"/>
      <c r="F21" s="5"/>
      <c r="G21" s="5"/>
      <c r="H21" s="5" t="s">
        <v>63</v>
      </c>
      <c r="I21" s="5"/>
      <c r="J21" s="5" t="s">
        <v>64</v>
      </c>
      <c r="K21" s="5"/>
      <c r="L21" s="7"/>
      <c r="M21" s="12" t="str">
        <f>IF(C21="","",IF(AND(J21="Confirmed",F21=""),"Evidence missing",IF(AND(H21="Waived",I21=""),"Waiver ID missing",IF(AND(J21="Rejected",K21=""),"Comment required",IF(AND(J21="Confirmed",OR(H21="Fail",H21="Open",H21="")),"Confirmed without a passing status",IF(AND(J21="Confirmed",L21=""),"Date missing",""))))))</f>
        <v/>
      </c>
    </row>
    <row r="22" spans="1:13" x14ac:dyDescent="0.25">
      <c r="A22" s="9" t="s">
        <v>108</v>
      </c>
      <c r="B22" s="6" t="s">
        <v>109</v>
      </c>
      <c r="C22" s="6" t="s">
        <v>110</v>
      </c>
      <c r="D22" s="6" t="s">
        <v>111</v>
      </c>
      <c r="E22" s="5"/>
      <c r="F22" s="5"/>
      <c r="G22" s="5"/>
      <c r="H22" s="5" t="s">
        <v>63</v>
      </c>
      <c r="I22" s="5"/>
      <c r="J22" s="5" t="s">
        <v>64</v>
      </c>
      <c r="K22" s="5"/>
      <c r="L22" s="7"/>
      <c r="M22" s="12" t="str">
        <f>IF(C22="","",IF(AND(J22="Confirmed",F22=""),"Evidence missing",IF(AND(H22="Waived",I22=""),"Waiver ID missing",IF(AND(J22="Rejected",K22=""),"Comment required",IF(AND(J22="Confirmed",OR(H22="Fail",H22="Open",H22="")),"Confirmed without a passing status",IF(AND(J22="Confirmed",L22=""),"Date missing",""))))))</f>
        <v/>
      </c>
    </row>
    <row r="23" spans="1:13" x14ac:dyDescent="0.25">
      <c r="A23" s="9" t="s">
        <v>112</v>
      </c>
      <c r="B23" s="6" t="s">
        <v>109</v>
      </c>
      <c r="C23" s="6" t="s">
        <v>113</v>
      </c>
      <c r="D23" s="6" t="s">
        <v>111</v>
      </c>
      <c r="E23" s="5"/>
      <c r="F23" s="5"/>
      <c r="G23" s="5"/>
      <c r="H23" s="5" t="s">
        <v>63</v>
      </c>
      <c r="I23" s="5"/>
      <c r="J23" s="5" t="s">
        <v>64</v>
      </c>
      <c r="K23" s="5"/>
      <c r="L23" s="7"/>
      <c r="M23" s="12" t="str">
        <f>IF(C23="","",IF(AND(J23="Confirmed",F23=""),"Evidence missing",IF(AND(H23="Waived",I23=""),"Waiver ID missing",IF(AND(J23="Rejected",K23=""),"Comment required",IF(AND(J23="Confirmed",OR(H23="Fail",H23="Open",H23="")),"Confirmed without a passing status",IF(AND(J23="Confirmed",L23=""),"Date missing",""))))))</f>
        <v/>
      </c>
    </row>
    <row r="24" spans="1:13" x14ac:dyDescent="0.25">
      <c r="A24" s="9" t="s">
        <v>114</v>
      </c>
      <c r="B24" s="6" t="s">
        <v>109</v>
      </c>
      <c r="C24" s="6" t="s">
        <v>115</v>
      </c>
      <c r="D24" s="6" t="s">
        <v>111</v>
      </c>
      <c r="E24" s="5"/>
      <c r="F24" s="5"/>
      <c r="G24" s="5"/>
      <c r="H24" s="5" t="s">
        <v>63</v>
      </c>
      <c r="I24" s="5"/>
      <c r="J24" s="5" t="s">
        <v>64</v>
      </c>
      <c r="K24" s="5"/>
      <c r="L24" s="7"/>
      <c r="M24" s="12" t="str">
        <f>IF(C24="","",IF(AND(J24="Confirmed",F24=""),"Evidence missing",IF(AND(H24="Waived",I24=""),"Waiver ID missing",IF(AND(J24="Rejected",K24=""),"Comment required",IF(AND(J24="Confirmed",OR(H24="Fail",H24="Open",H24="")),"Confirmed without a passing status",IF(AND(J24="Confirmed",L24=""),"Date missing",""))))))</f>
        <v/>
      </c>
    </row>
    <row r="25" spans="1:13" x14ac:dyDescent="0.25">
      <c r="A25" s="9" t="s">
        <v>116</v>
      </c>
      <c r="B25" s="6" t="s">
        <v>109</v>
      </c>
      <c r="C25" s="6" t="s">
        <v>117</v>
      </c>
      <c r="D25" s="6" t="s">
        <v>111</v>
      </c>
      <c r="E25" s="5"/>
      <c r="F25" s="5"/>
      <c r="G25" s="5"/>
      <c r="H25" s="5" t="s">
        <v>63</v>
      </c>
      <c r="I25" s="5"/>
      <c r="J25" s="5" t="s">
        <v>64</v>
      </c>
      <c r="K25" s="5"/>
      <c r="L25" s="7"/>
      <c r="M25" s="12" t="str">
        <f>IF(C25="","",IF(AND(J25="Confirmed",F25=""),"Evidence missing",IF(AND(H25="Waived",I25=""),"Waiver ID missing",IF(AND(J25="Rejected",K25=""),"Comment required",IF(AND(J25="Confirmed",OR(H25="Fail",H25="Open",H25="")),"Confirmed without a passing status",IF(AND(J25="Confirmed",L25=""),"Date missing",""))))))</f>
        <v/>
      </c>
    </row>
    <row r="26" spans="1:13" x14ac:dyDescent="0.25">
      <c r="A26" s="9" t="s">
        <v>118</v>
      </c>
      <c r="B26" s="6" t="s">
        <v>109</v>
      </c>
      <c r="C26" s="6" t="s">
        <v>119</v>
      </c>
      <c r="D26" s="6" t="s">
        <v>111</v>
      </c>
      <c r="E26" s="5"/>
      <c r="F26" s="5"/>
      <c r="G26" s="5"/>
      <c r="H26" s="5" t="s">
        <v>63</v>
      </c>
      <c r="I26" s="5"/>
      <c r="J26" s="5" t="s">
        <v>64</v>
      </c>
      <c r="K26" s="5"/>
      <c r="L26" s="7"/>
      <c r="M26" s="12" t="str">
        <f>IF(C26="","",IF(AND(J26="Confirmed",F26=""),"Evidence missing",IF(AND(H26="Waived",I26=""),"Waiver ID missing",IF(AND(J26="Rejected",K26=""),"Comment required",IF(AND(J26="Confirmed",OR(H26="Fail",H26="Open",H26="")),"Confirmed without a passing status",IF(AND(J26="Confirmed",L26=""),"Date missing",""))))))</f>
        <v/>
      </c>
    </row>
    <row r="27" spans="1:13" x14ac:dyDescent="0.25">
      <c r="A27" s="10"/>
      <c r="B27" s="5"/>
      <c r="C27" s="5"/>
      <c r="D27" s="5"/>
      <c r="E27" s="5"/>
      <c r="F27" s="5"/>
      <c r="G27" s="5"/>
      <c r="H27" s="5"/>
      <c r="I27" s="5"/>
      <c r="J27" s="5"/>
      <c r="K27" s="5"/>
      <c r="L27" s="7"/>
      <c r="M27" s="12" t="str">
        <f>IF(C27="","",IF(AND(J27="Confirmed",F27=""),"Evidence missing",IF(AND(H27="Waived",I27=""),"Waiver ID missing",IF(AND(J27="Rejected",K27=""),"Comment required",IF(AND(J27="Confirmed",OR(H27="Fail",H27="Open",H27="")),"Confirmed without a passing status",IF(AND(J27="Confirmed",L27=""),"Date missing",""))))))</f>
        <v/>
      </c>
    </row>
    <row r="28" spans="1:13" x14ac:dyDescent="0.25">
      <c r="A28" s="10"/>
      <c r="B28" s="5"/>
      <c r="C28" s="5"/>
      <c r="D28" s="5"/>
      <c r="E28" s="5"/>
      <c r="F28" s="5"/>
      <c r="G28" s="5"/>
      <c r="H28" s="5"/>
      <c r="I28" s="5"/>
      <c r="J28" s="5"/>
      <c r="K28" s="5"/>
      <c r="L28" s="7"/>
      <c r="M28" s="12" t="str">
        <f>IF(C28="","",IF(AND(J28="Confirmed",F28=""),"Evidence missing",IF(AND(H28="Waived",I28=""),"Waiver ID missing",IF(AND(J28="Rejected",K28=""),"Comment required",IF(AND(J28="Confirmed",OR(H28="Fail",H28="Open",H28="")),"Confirmed without a passing status",IF(AND(J28="Confirmed",L28=""),"Date missing",""))))))</f>
        <v/>
      </c>
    </row>
    <row r="29" spans="1:13" x14ac:dyDescent="0.25">
      <c r="A29" s="10"/>
      <c r="B29" s="5"/>
      <c r="C29" s="5"/>
      <c r="D29" s="5"/>
      <c r="E29" s="5"/>
      <c r="F29" s="5"/>
      <c r="G29" s="5"/>
      <c r="H29" s="5"/>
      <c r="I29" s="5"/>
      <c r="J29" s="5"/>
      <c r="K29" s="5"/>
      <c r="L29" s="7"/>
      <c r="M29" s="12" t="str">
        <f>IF(C29="","",IF(AND(J29="Confirmed",F29=""),"Evidence missing",IF(AND(H29="Waived",I29=""),"Waiver ID missing",IF(AND(J29="Rejected",K29=""),"Comment required",IF(AND(J29="Confirmed",OR(H29="Fail",H29="Open",H29="")),"Confirmed without a passing status",IF(AND(J29="Confirmed",L29=""),"Date missing",""))))))</f>
        <v/>
      </c>
    </row>
    <row r="30" spans="1:13" x14ac:dyDescent="0.25">
      <c r="A30" s="10"/>
      <c r="B30" s="5"/>
      <c r="C30" s="5"/>
      <c r="D30" s="5"/>
      <c r="E30" s="5"/>
      <c r="F30" s="5"/>
      <c r="G30" s="5"/>
      <c r="H30" s="5"/>
      <c r="I30" s="5"/>
      <c r="J30" s="5"/>
      <c r="K30" s="5"/>
      <c r="L30" s="7"/>
      <c r="M30" s="12" t="str">
        <f>IF(C30="","",IF(AND(J30="Confirmed",F30=""),"Evidence missing",IF(AND(H30="Waived",I30=""),"Waiver ID missing",IF(AND(J30="Rejected",K30=""),"Comment required",IF(AND(J30="Confirmed",OR(H30="Fail",H30="Open",H30="")),"Confirmed without a passing status",IF(AND(J30="Confirmed",L30=""),"Date missing",""))))))</f>
        <v/>
      </c>
    </row>
    <row r="31" spans="1:13" x14ac:dyDescent="0.25">
      <c r="A31" s="10"/>
      <c r="B31" s="5"/>
      <c r="C31" s="5"/>
      <c r="D31" s="5"/>
      <c r="E31" s="5"/>
      <c r="F31" s="5"/>
      <c r="G31" s="5"/>
      <c r="H31" s="5"/>
      <c r="I31" s="5"/>
      <c r="J31" s="5"/>
      <c r="K31" s="5"/>
      <c r="L31" s="7"/>
      <c r="M31" s="12" t="str">
        <f>IF(C31="","",IF(AND(J31="Confirmed",F31=""),"Evidence missing",IF(AND(H31="Waived",I31=""),"Waiver ID missing",IF(AND(J31="Rejected",K31=""),"Comment required",IF(AND(J31="Confirmed",OR(H31="Fail",H31="Open",H31="")),"Confirmed without a passing status",IF(AND(J31="Confirmed",L31=""),"Date missing",""))))))</f>
        <v/>
      </c>
    </row>
    <row r="32" spans="1:13" x14ac:dyDescent="0.25">
      <c r="A32" s="10"/>
      <c r="B32" s="5"/>
      <c r="C32" s="5"/>
      <c r="D32" s="5"/>
      <c r="E32" s="5"/>
      <c r="F32" s="5"/>
      <c r="G32" s="5"/>
      <c r="H32" s="5"/>
      <c r="I32" s="5"/>
      <c r="J32" s="5"/>
      <c r="K32" s="5"/>
      <c r="L32" s="7"/>
      <c r="M32" s="12" t="str">
        <f>IF(C32="","",IF(AND(J32="Confirmed",F32=""),"Evidence missing",IF(AND(H32="Waived",I32=""),"Waiver ID missing",IF(AND(J32="Rejected",K32=""),"Comment required",IF(AND(J32="Confirmed",OR(H32="Fail",H32="Open",H32="")),"Confirmed without a passing status",IF(AND(J32="Confirmed",L32=""),"Date missing",""))))))</f>
        <v/>
      </c>
    </row>
    <row r="33" spans="1:13" x14ac:dyDescent="0.25">
      <c r="A33" s="10"/>
      <c r="B33" s="5"/>
      <c r="C33" s="5"/>
      <c r="D33" s="5"/>
      <c r="E33" s="5"/>
      <c r="F33" s="5"/>
      <c r="G33" s="5"/>
      <c r="H33" s="5"/>
      <c r="I33" s="5"/>
      <c r="J33" s="5"/>
      <c r="K33" s="5"/>
      <c r="L33" s="7"/>
      <c r="M33" s="12" t="str">
        <f>IF(C33="","",IF(AND(J33="Confirmed",F33=""),"Evidence missing",IF(AND(H33="Waived",I33=""),"Waiver ID missing",IF(AND(J33="Rejected",K33=""),"Comment required",IF(AND(J33="Confirmed",OR(H33="Fail",H33="Open",H33="")),"Confirmed without a passing status",IF(AND(J33="Confirmed",L33=""),"Date missing",""))))))</f>
        <v/>
      </c>
    </row>
    <row r="34" spans="1:13" x14ac:dyDescent="0.25">
      <c r="A34" s="10"/>
      <c r="B34" s="5"/>
      <c r="C34" s="5"/>
      <c r="D34" s="5"/>
      <c r="E34" s="5"/>
      <c r="F34" s="5"/>
      <c r="G34" s="5"/>
      <c r="H34" s="5"/>
      <c r="I34" s="5"/>
      <c r="J34" s="5"/>
      <c r="K34" s="5"/>
      <c r="L34" s="7"/>
      <c r="M34" s="12" t="str">
        <f>IF(C34="","",IF(AND(J34="Confirmed",F34=""),"Evidence missing",IF(AND(H34="Waived",I34=""),"Waiver ID missing",IF(AND(J34="Rejected",K34=""),"Comment required",IF(AND(J34="Confirmed",OR(H34="Fail",H34="Open",H34="")),"Confirmed without a passing status",IF(AND(J34="Confirmed",L34=""),"Date missing",""))))))</f>
        <v/>
      </c>
    </row>
    <row r="35" spans="1:13" x14ac:dyDescent="0.25">
      <c r="A35" s="10"/>
      <c r="B35" s="5"/>
      <c r="C35" s="5"/>
      <c r="D35" s="5"/>
      <c r="E35" s="5"/>
      <c r="F35" s="5"/>
      <c r="G35" s="5"/>
      <c r="H35" s="5"/>
      <c r="I35" s="5"/>
      <c r="J35" s="5"/>
      <c r="K35" s="5"/>
      <c r="L35" s="7"/>
      <c r="M35" s="12" t="str">
        <f>IF(C35="","",IF(AND(J35="Confirmed",F35=""),"Evidence missing",IF(AND(H35="Waived",I35=""),"Waiver ID missing",IF(AND(J35="Rejected",K35=""),"Comment required",IF(AND(J35="Confirmed",OR(H35="Fail",H35="Open",H35="")),"Confirmed without a passing status",IF(AND(J35="Confirmed",L35=""),"Date missing",""))))))</f>
        <v/>
      </c>
    </row>
    <row r="36" spans="1:13" x14ac:dyDescent="0.25">
      <c r="A36" s="10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12" t="str">
        <f>IF(C36="","",IF(AND(J36="Confirmed",F36=""),"Evidence missing",IF(AND(H36="Waived",I36=""),"Waiver ID missing",IF(AND(J36="Rejected",K36=""),"Comment required",IF(AND(J36="Confirmed",OR(H36="Fail",H36="Open",H36="")),"Confirmed without a passing status",IF(AND(J36="Confirmed",L36=""),"Date missing",""))))))</f>
        <v/>
      </c>
    </row>
  </sheetData>
  <autoFilter ref="A3:M36"/>
  <mergeCells count="2">
    <mergeCell ref="A1:M1"/>
    <mergeCell ref="A2:M2"/>
  </mergeCells>
  <conditionalFormatting sqref="H4:H36">
    <cfRule type="cellIs" dxfId="2" priority="1" operator="equal">
      <formula>"Pass"</formula>
    </cfRule>
    <cfRule type="cellIs" dxfId="3" priority="2" operator="equal">
      <formula>"Fail"</formula>
    </cfRule>
    <cfRule type="cellIs" dxfId="4" priority="3" operator="equal">
      <formula>"Waived"</formula>
    </cfRule>
  </conditionalFormatting>
  <conditionalFormatting sqref="J4:J36">
    <cfRule type="cellIs" dxfId="5" priority="4" operator="equal">
      <formula>"Confirmed"</formula>
    </cfRule>
    <cfRule type="cellIs" dxfId="6" priority="5" operator="equal">
      <formula>"Rejected"</formula>
    </cfRule>
  </conditionalFormatting>
  <dataValidations count="6">
    <dataValidation type="list" allowBlank="1" showErrorMessage="1" errorTitle="Pick from the list" error="One of: Pass, Fail, Waived, N/A, Open" sqref="H10:H36">
      <formula1>"Pass,Fail,Waived,N/A,Open"</formula1>
    </dataValidation>
    <dataValidation type="list" allowBlank="1" showErrorMessage="1" errorTitle="Pick from the list" error="One of: Pass, Fail, Waived, N/A, Open" sqref="H4:H36">
      <formula1>"Pass,Fail,Waived,N/A,Open"</formula1>
    </dataValidation>
    <dataValidation type="list" allowBlank="1" showErrorMessage="1" errorTitle="Pick from the list" error="One of: Pending, Confirmed, Rejected" sqref="J10:J36">
      <formula1>"Pending,Confirmed,Rejected"</formula1>
    </dataValidation>
    <dataValidation type="list" allowBlank="1" showErrorMessage="1" errorTitle="Pick from the list" error="One of: Pending, Confirmed, Rejected" sqref="J4:J36">
      <formula1>"Pending,Confirmed,Rejected"</formula1>
    </dataValidation>
    <dataValidation type="date" operator="greaterThan" allowBlank="1" showErrorMessage="1" error="A date, e.g. 2027-03-15" sqref="L10:L36">
      <formula1>43831</formula1>
    </dataValidation>
    <dataValidation type="date" operator="greaterThan" allowBlank="1" showErrorMessage="1" error="A date, e.g. 2027-03-15" sqref="L4:L36">
      <formula1>43831</formula1>
    </dataValidation>
  </dataValidations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4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6" customWidth="1"/>
    <col min="3" max="3" width="13" customWidth="1"/>
    <col min="4" max="4" width="11" customWidth="1"/>
    <col min="5" max="5" width="16" customWidth="1"/>
    <col min="6" max="6" width="12" customWidth="1"/>
    <col min="7" max="7" width="10" customWidth="1"/>
    <col min="8" max="8" width="36" customWidth="1"/>
  </cols>
  <sheetData>
    <row r="1" spans="1:8" x14ac:dyDescent="0.25">
      <c r="A1" s="1" t="s">
        <v>120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121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122</v>
      </c>
      <c r="B3" s="4" t="s">
        <v>123</v>
      </c>
      <c r="C3" s="4" t="s">
        <v>124</v>
      </c>
      <c r="D3" s="4" t="s">
        <v>125</v>
      </c>
      <c r="E3" s="4" t="s">
        <v>126</v>
      </c>
      <c r="F3" s="4" t="s">
        <v>127</v>
      </c>
      <c r="G3" s="4" t="s">
        <v>128</v>
      </c>
      <c r="H3" s="4" t="s">
        <v>129</v>
      </c>
    </row>
    <row r="4" spans="1:8" x14ac:dyDescent="0.25">
      <c r="A4" s="5"/>
      <c r="B4" s="5"/>
      <c r="C4" s="5"/>
      <c r="D4" s="5"/>
      <c r="E4" s="5"/>
      <c r="F4" s="7"/>
      <c r="G4" s="5"/>
      <c r="H4" s="5"/>
    </row>
    <row r="5" spans="1:8" x14ac:dyDescent="0.25">
      <c r="A5" s="5"/>
      <c r="B5" s="5"/>
      <c r="C5" s="5"/>
      <c r="D5" s="5"/>
      <c r="E5" s="5"/>
      <c r="F5" s="7"/>
      <c r="G5" s="5"/>
      <c r="H5" s="5"/>
    </row>
    <row r="6" spans="1:8" x14ac:dyDescent="0.25">
      <c r="A6" s="5"/>
      <c r="B6" s="5"/>
      <c r="C6" s="5"/>
      <c r="D6" s="5"/>
      <c r="E6" s="5"/>
      <c r="F6" s="7"/>
      <c r="G6" s="5"/>
      <c r="H6" s="5"/>
    </row>
    <row r="7" spans="1:8" x14ac:dyDescent="0.25">
      <c r="A7" s="5"/>
      <c r="B7" s="5"/>
      <c r="C7" s="5"/>
      <c r="D7" s="5"/>
      <c r="E7" s="5"/>
      <c r="F7" s="7"/>
      <c r="G7" s="5"/>
      <c r="H7" s="5"/>
    </row>
    <row r="8" spans="1:8" x14ac:dyDescent="0.25">
      <c r="A8" s="5"/>
      <c r="B8" s="5"/>
      <c r="C8" s="5"/>
      <c r="D8" s="5"/>
      <c r="E8" s="5"/>
      <c r="F8" s="7"/>
      <c r="G8" s="5"/>
      <c r="H8" s="5"/>
    </row>
    <row r="9" spans="1:8" x14ac:dyDescent="0.25">
      <c r="A9" s="5"/>
      <c r="B9" s="5"/>
      <c r="C9" s="5"/>
      <c r="D9" s="5"/>
      <c r="E9" s="5"/>
      <c r="F9" s="7"/>
      <c r="G9" s="5"/>
      <c r="H9" s="5"/>
    </row>
    <row r="10" spans="1:8" x14ac:dyDescent="0.25">
      <c r="A10" s="5"/>
      <c r="B10" s="5"/>
      <c r="C10" s="5"/>
      <c r="D10" s="5"/>
      <c r="E10" s="5"/>
      <c r="F10" s="7"/>
      <c r="G10" s="5"/>
      <c r="H10" s="5"/>
    </row>
    <row r="11" spans="1:8" x14ac:dyDescent="0.25">
      <c r="A11" s="5"/>
      <c r="B11" s="5"/>
      <c r="C11" s="5"/>
      <c r="D11" s="5"/>
      <c r="E11" s="5"/>
      <c r="F11" s="7"/>
      <c r="G11" s="5"/>
      <c r="H11" s="5"/>
    </row>
    <row r="12" spans="1:8" x14ac:dyDescent="0.25">
      <c r="A12" s="5"/>
      <c r="B12" s="5"/>
      <c r="C12" s="5"/>
      <c r="D12" s="5"/>
      <c r="E12" s="5"/>
      <c r="F12" s="7"/>
      <c r="G12" s="5"/>
      <c r="H12" s="5"/>
    </row>
    <row r="13" spans="1:8" x14ac:dyDescent="0.25">
      <c r="A13" s="5"/>
      <c r="B13" s="5"/>
      <c r="C13" s="5"/>
      <c r="D13" s="5"/>
      <c r="E13" s="5"/>
      <c r="F13" s="7"/>
      <c r="G13" s="5"/>
      <c r="H13" s="5"/>
    </row>
    <row r="14" spans="1:8" x14ac:dyDescent="0.25">
      <c r="A14" s="5"/>
      <c r="B14" s="5"/>
      <c r="C14" s="5"/>
      <c r="D14" s="5"/>
      <c r="E14" s="5"/>
      <c r="F14" s="7"/>
      <c r="G14" s="5"/>
      <c r="H14" s="5"/>
    </row>
    <row r="15" spans="1:8" x14ac:dyDescent="0.25">
      <c r="A15" s="5"/>
      <c r="B15" s="5"/>
      <c r="C15" s="5"/>
      <c r="D15" s="5"/>
      <c r="E15" s="5"/>
      <c r="F15" s="7"/>
      <c r="G15" s="5"/>
      <c r="H15" s="5"/>
    </row>
    <row r="16" spans="1:8" x14ac:dyDescent="0.25">
      <c r="A16" s="5"/>
      <c r="B16" s="5"/>
      <c r="C16" s="5"/>
      <c r="D16" s="5"/>
      <c r="E16" s="5"/>
      <c r="F16" s="7"/>
      <c r="G16" s="5"/>
      <c r="H16" s="5"/>
    </row>
    <row r="17" spans="1:8" x14ac:dyDescent="0.25">
      <c r="A17" s="5"/>
      <c r="B17" s="5"/>
      <c r="C17" s="5"/>
      <c r="D17" s="5"/>
      <c r="E17" s="5"/>
      <c r="F17" s="7"/>
      <c r="G17" s="5"/>
      <c r="H17" s="5"/>
    </row>
    <row r="18" spans="1:8" x14ac:dyDescent="0.25">
      <c r="A18" s="5"/>
      <c r="B18" s="5"/>
      <c r="C18" s="5"/>
      <c r="D18" s="5"/>
      <c r="E18" s="5"/>
      <c r="F18" s="7"/>
      <c r="G18" s="5"/>
      <c r="H18" s="5"/>
    </row>
    <row r="19" spans="1:8" x14ac:dyDescent="0.25">
      <c r="A19" s="5"/>
      <c r="B19" s="5"/>
      <c r="C19" s="5"/>
      <c r="D19" s="5"/>
      <c r="E19" s="5"/>
      <c r="F19" s="7"/>
      <c r="G19" s="5"/>
      <c r="H19" s="5"/>
    </row>
    <row r="20" spans="1:8" x14ac:dyDescent="0.25">
      <c r="A20" s="5"/>
      <c r="B20" s="5"/>
      <c r="C20" s="5"/>
      <c r="D20" s="5"/>
      <c r="E20" s="5"/>
      <c r="F20" s="7"/>
      <c r="G20" s="5"/>
      <c r="H20" s="5"/>
    </row>
    <row r="21" spans="1:8" x14ac:dyDescent="0.25">
      <c r="A21" s="5"/>
      <c r="B21" s="5"/>
      <c r="C21" s="5"/>
      <c r="D21" s="5"/>
      <c r="E21" s="5"/>
      <c r="F21" s="7"/>
      <c r="G21" s="5"/>
      <c r="H21" s="5"/>
    </row>
    <row r="22" spans="1:8" x14ac:dyDescent="0.25">
      <c r="A22" s="5"/>
      <c r="B22" s="5"/>
      <c r="C22" s="5"/>
      <c r="D22" s="5"/>
      <c r="E22" s="5"/>
      <c r="F22" s="7"/>
      <c r="G22" s="5"/>
      <c r="H22" s="5"/>
    </row>
    <row r="23" spans="1:8" x14ac:dyDescent="0.25">
      <c r="A23" s="5"/>
      <c r="B23" s="5"/>
      <c r="C23" s="5"/>
      <c r="D23" s="5"/>
      <c r="E23" s="5"/>
      <c r="F23" s="7"/>
      <c r="G23" s="5"/>
      <c r="H23" s="5"/>
    </row>
    <row r="24" spans="1:8" x14ac:dyDescent="0.25">
      <c r="A24" s="5"/>
      <c r="B24" s="5"/>
      <c r="C24" s="5"/>
      <c r="D24" s="5"/>
      <c r="E24" s="5"/>
      <c r="F24" s="7"/>
      <c r="G24" s="5"/>
      <c r="H24" s="5"/>
    </row>
    <row r="25" spans="1:8" x14ac:dyDescent="0.25">
      <c r="A25" s="5"/>
      <c r="B25" s="5"/>
      <c r="C25" s="5"/>
      <c r="D25" s="5"/>
      <c r="E25" s="5"/>
      <c r="F25" s="7"/>
      <c r="G25" s="5"/>
      <c r="H25" s="5"/>
    </row>
    <row r="26" spans="1:8" x14ac:dyDescent="0.25">
      <c r="A26" s="5"/>
      <c r="B26" s="5"/>
      <c r="C26" s="5"/>
      <c r="D26" s="5"/>
      <c r="E26" s="5"/>
      <c r="F26" s="7"/>
      <c r="G26" s="5"/>
      <c r="H26" s="5"/>
    </row>
    <row r="27" spans="1:8" x14ac:dyDescent="0.25">
      <c r="A27" s="5"/>
      <c r="B27" s="5"/>
      <c r="C27" s="5"/>
      <c r="D27" s="5"/>
      <c r="E27" s="5"/>
      <c r="F27" s="7"/>
      <c r="G27" s="5"/>
      <c r="H27" s="5"/>
    </row>
    <row r="28" spans="1:8" x14ac:dyDescent="0.25">
      <c r="A28" s="5"/>
      <c r="B28" s="5"/>
      <c r="C28" s="5"/>
      <c r="D28" s="5"/>
      <c r="E28" s="5"/>
      <c r="F28" s="7"/>
      <c r="G28" s="5"/>
      <c r="H28" s="5"/>
    </row>
    <row r="29" spans="1:8" x14ac:dyDescent="0.25">
      <c r="A29" s="5"/>
      <c r="B29" s="5"/>
      <c r="C29" s="5"/>
      <c r="D29" s="5"/>
      <c r="E29" s="5"/>
      <c r="F29" s="7"/>
      <c r="G29" s="5"/>
      <c r="H29" s="5"/>
    </row>
    <row r="30" spans="1:8" x14ac:dyDescent="0.25">
      <c r="A30" s="5"/>
      <c r="B30" s="5"/>
      <c r="C30" s="5"/>
      <c r="D30" s="5"/>
      <c r="E30" s="5"/>
      <c r="F30" s="7"/>
      <c r="G30" s="5"/>
      <c r="H30" s="5"/>
    </row>
    <row r="31" spans="1:8" x14ac:dyDescent="0.25">
      <c r="A31" s="5"/>
      <c r="B31" s="5"/>
      <c r="C31" s="5"/>
      <c r="D31" s="5"/>
      <c r="E31" s="5"/>
      <c r="F31" s="7"/>
      <c r="G31" s="5"/>
      <c r="H31" s="5"/>
    </row>
    <row r="32" spans="1:8" x14ac:dyDescent="0.25">
      <c r="A32" s="5"/>
      <c r="B32" s="5"/>
      <c r="C32" s="5"/>
      <c r="D32" s="5"/>
      <c r="E32" s="5"/>
      <c r="F32" s="7"/>
      <c r="G32" s="5"/>
      <c r="H32" s="5"/>
    </row>
    <row r="33" spans="1:8" x14ac:dyDescent="0.25">
      <c r="A33" s="5"/>
      <c r="B33" s="5"/>
      <c r="C33" s="5"/>
      <c r="D33" s="5"/>
      <c r="E33" s="5"/>
      <c r="F33" s="7"/>
      <c r="G33" s="5"/>
      <c r="H33" s="5"/>
    </row>
    <row r="34" spans="1:8" x14ac:dyDescent="0.25">
      <c r="A34" s="5"/>
      <c r="B34" s="5"/>
      <c r="C34" s="5"/>
      <c r="D34" s="5"/>
      <c r="E34" s="5"/>
      <c r="F34" s="7"/>
      <c r="G34" s="5"/>
      <c r="H34" s="5"/>
    </row>
    <row r="35" spans="1:8" x14ac:dyDescent="0.25">
      <c r="A35" s="5"/>
      <c r="B35" s="5"/>
      <c r="C35" s="5"/>
      <c r="D35" s="5"/>
      <c r="E35" s="5"/>
      <c r="F35" s="7"/>
      <c r="G35" s="5"/>
      <c r="H35" s="5"/>
    </row>
    <row r="36" spans="1:8" x14ac:dyDescent="0.25">
      <c r="A36" s="5"/>
      <c r="B36" s="5"/>
      <c r="C36" s="5"/>
      <c r="D36" s="5"/>
      <c r="E36" s="5"/>
      <c r="F36" s="7"/>
      <c r="G36" s="5"/>
      <c r="H36" s="5"/>
    </row>
    <row r="37" spans="1:8" x14ac:dyDescent="0.25">
      <c r="A37" s="5"/>
      <c r="B37" s="5"/>
      <c r="C37" s="5"/>
      <c r="D37" s="5"/>
      <c r="E37" s="5"/>
      <c r="F37" s="7"/>
      <c r="G37" s="5"/>
      <c r="H37" s="5"/>
    </row>
    <row r="38" spans="1:8" x14ac:dyDescent="0.25">
      <c r="A38" s="5"/>
      <c r="B38" s="5"/>
      <c r="C38" s="5"/>
      <c r="D38" s="5"/>
      <c r="E38" s="5"/>
      <c r="F38" s="7"/>
      <c r="G38" s="5"/>
      <c r="H38" s="5"/>
    </row>
    <row r="39" spans="1:8" x14ac:dyDescent="0.25">
      <c r="A39" s="5"/>
      <c r="B39" s="5"/>
      <c r="C39" s="5"/>
      <c r="D39" s="5"/>
      <c r="E39" s="5"/>
      <c r="F39" s="7"/>
      <c r="G39" s="5"/>
      <c r="H39" s="5"/>
    </row>
    <row r="40" spans="1:8" x14ac:dyDescent="0.25">
      <c r="A40" s="5"/>
      <c r="B40" s="5"/>
      <c r="C40" s="5"/>
      <c r="D40" s="5"/>
      <c r="E40" s="5"/>
      <c r="F40" s="7"/>
      <c r="G40" s="5"/>
      <c r="H40" s="5"/>
    </row>
    <row r="41" spans="1:8" x14ac:dyDescent="0.25">
      <c r="A41" s="5"/>
      <c r="B41" s="5"/>
      <c r="C41" s="5"/>
      <c r="D41" s="5"/>
      <c r="E41" s="5"/>
      <c r="F41" s="7"/>
      <c r="G41" s="5"/>
      <c r="H41" s="5"/>
    </row>
    <row r="42" spans="1:8" x14ac:dyDescent="0.25">
      <c r="A42" s="5"/>
      <c r="B42" s="5"/>
      <c r="C42" s="5"/>
      <c r="D42" s="5"/>
      <c r="E42" s="5"/>
      <c r="F42" s="7"/>
      <c r="G42" s="5"/>
      <c r="H42" s="5"/>
    </row>
    <row r="43" spans="1:8" x14ac:dyDescent="0.25">
      <c r="A43" s="5"/>
      <c r="B43" s="5"/>
      <c r="C43" s="5"/>
      <c r="D43" s="5"/>
      <c r="E43" s="5"/>
      <c r="F43" s="7"/>
      <c r="G43" s="5"/>
      <c r="H43" s="5"/>
    </row>
  </sheetData>
  <mergeCells count="2">
    <mergeCell ref="A1:H1"/>
    <mergeCell ref="A2:H2"/>
  </mergeCells>
  <dataValidations count="6">
    <dataValidation type="list" allowBlank="1" showErrorMessage="1" errorTitle="Pick from the list" error="One of: Critical, High, Medium, Low" sqref="D10:D43">
      <formula1>"Critical,High,Medium,Low"</formula1>
    </dataValidation>
    <dataValidation type="list" allowBlank="1" showErrorMessage="1" errorTitle="Pick from the list" error="One of: Critical, High, Medium, Low" sqref="D4:D43">
      <formula1>"Critical,High,Medium,Low"</formula1>
    </dataValidation>
    <dataValidation type="date" operator="greaterThan" allowBlank="1" showErrorMessage="1" error="A date, e.g. 2027-03-15" sqref="F10:F43">
      <formula1>43831</formula1>
    </dataValidation>
    <dataValidation type="date" operator="greaterThan" allowBlank="1" showErrorMessage="1" error="A date, e.g. 2027-03-15" sqref="F4:F43">
      <formula1>43831</formula1>
    </dataValidation>
    <dataValidation type="list" allowBlank="1" showErrorMessage="1" errorTitle="Pick from the list" error="One of: Open, Closed" sqref="G10:G43">
      <formula1>"Open,Closed"</formula1>
    </dataValidation>
    <dataValidation type="list" allowBlank="1" showErrorMessage="1" errorTitle="Pick from the list" error="One of: Open, Closed" sqref="G4:G43">
      <formula1>"Open,Closed"</formula1>
    </dataValidation>
  </dataValidations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30" customWidth="1"/>
    <col min="4" max="4" width="40" customWidth="1"/>
    <col min="5" max="5" width="30" customWidth="1"/>
    <col min="6" max="6" width="26" customWidth="1"/>
    <col min="7" max="7" width="18" customWidth="1"/>
    <col min="8" max="8" width="12" customWidth="1"/>
  </cols>
  <sheetData>
    <row r="1" spans="1:8" x14ac:dyDescent="0.25">
      <c r="A1" s="1" t="s">
        <v>130</v>
      </c>
      <c r="B1" s="1"/>
      <c r="C1" s="1"/>
      <c r="D1" s="1"/>
      <c r="E1" s="1"/>
      <c r="F1" s="1"/>
      <c r="G1" s="1"/>
      <c r="H1" s="1"/>
    </row>
    <row r="2" ht="28" customHeight="1" spans="1:8" x14ac:dyDescent="0.25">
      <c r="A2" s="2" t="s">
        <v>131</v>
      </c>
      <c r="B2" s="2"/>
      <c r="C2" s="2"/>
      <c r="D2" s="2"/>
      <c r="E2" s="2"/>
      <c r="F2" s="2"/>
      <c r="G2" s="2"/>
      <c r="H2" s="2"/>
    </row>
    <row r="3" ht="30" customHeight="1" spans="1:8" x14ac:dyDescent="0.25">
      <c r="A3" s="4" t="s">
        <v>54</v>
      </c>
      <c r="B3" s="4" t="s">
        <v>124</v>
      </c>
      <c r="C3" s="4" t="s">
        <v>132</v>
      </c>
      <c r="D3" s="4" t="s">
        <v>133</v>
      </c>
      <c r="E3" s="4" t="s">
        <v>134</v>
      </c>
      <c r="F3" s="4" t="s">
        <v>135</v>
      </c>
      <c r="G3" s="4" t="s">
        <v>136</v>
      </c>
      <c r="H3" s="4" t="s">
        <v>137</v>
      </c>
    </row>
    <row r="4" spans="1:8" x14ac:dyDescent="0.25">
      <c r="A4" s="5"/>
      <c r="B4" s="5"/>
      <c r="C4" s="5"/>
      <c r="D4" s="5"/>
      <c r="E4" s="5"/>
      <c r="F4" s="5"/>
      <c r="G4" s="5"/>
      <c r="H4" s="7"/>
    </row>
    <row r="5" spans="1:8" x14ac:dyDescent="0.25">
      <c r="A5" s="5"/>
      <c r="B5" s="5"/>
      <c r="C5" s="5"/>
      <c r="D5" s="5"/>
      <c r="E5" s="5"/>
      <c r="F5" s="5"/>
      <c r="G5" s="5"/>
      <c r="H5" s="7"/>
    </row>
    <row r="6" spans="1:8" x14ac:dyDescent="0.25">
      <c r="A6" s="5"/>
      <c r="B6" s="5"/>
      <c r="C6" s="5"/>
      <c r="D6" s="5"/>
      <c r="E6" s="5"/>
      <c r="F6" s="5"/>
      <c r="G6" s="5"/>
      <c r="H6" s="7"/>
    </row>
    <row r="7" spans="1:8" x14ac:dyDescent="0.25">
      <c r="A7" s="5"/>
      <c r="B7" s="5"/>
      <c r="C7" s="5"/>
      <c r="D7" s="5"/>
      <c r="E7" s="5"/>
      <c r="F7" s="5"/>
      <c r="G7" s="5"/>
      <c r="H7" s="7"/>
    </row>
    <row r="8" spans="1:8" x14ac:dyDescent="0.25">
      <c r="A8" s="5"/>
      <c r="B8" s="5"/>
      <c r="C8" s="5"/>
      <c r="D8" s="5"/>
      <c r="E8" s="5"/>
      <c r="F8" s="5"/>
      <c r="G8" s="5"/>
      <c r="H8" s="7"/>
    </row>
    <row r="9" spans="1:8" x14ac:dyDescent="0.25">
      <c r="A9" s="5"/>
      <c r="B9" s="5"/>
      <c r="C9" s="5"/>
      <c r="D9" s="5"/>
      <c r="E9" s="5"/>
      <c r="F9" s="5"/>
      <c r="G9" s="5"/>
      <c r="H9" s="7"/>
    </row>
    <row r="10" spans="1:8" x14ac:dyDescent="0.25">
      <c r="A10" s="5"/>
      <c r="B10" s="5"/>
      <c r="C10" s="5"/>
      <c r="D10" s="5"/>
      <c r="E10" s="5"/>
      <c r="F10" s="5"/>
      <c r="G10" s="5"/>
      <c r="H10" s="7"/>
    </row>
    <row r="11" spans="1:8" x14ac:dyDescent="0.25">
      <c r="A11" s="5"/>
      <c r="B11" s="5"/>
      <c r="C11" s="5"/>
      <c r="D11" s="5"/>
      <c r="E11" s="5"/>
      <c r="F11" s="5"/>
      <c r="G11" s="5"/>
      <c r="H11" s="7"/>
    </row>
    <row r="12" spans="1:8" x14ac:dyDescent="0.25">
      <c r="A12" s="5"/>
      <c r="B12" s="5"/>
      <c r="C12" s="5"/>
      <c r="D12" s="5"/>
      <c r="E12" s="5"/>
      <c r="F12" s="5"/>
      <c r="G12" s="5"/>
      <c r="H12" s="7"/>
    </row>
    <row r="13" spans="1:8" x14ac:dyDescent="0.25">
      <c r="A13" s="5"/>
      <c r="B13" s="5"/>
      <c r="C13" s="5"/>
      <c r="D13" s="5"/>
      <c r="E13" s="5"/>
      <c r="F13" s="5"/>
      <c r="G13" s="5"/>
      <c r="H13" s="7"/>
    </row>
    <row r="14" spans="1:8" x14ac:dyDescent="0.25">
      <c r="A14" s="5"/>
      <c r="B14" s="5"/>
      <c r="C14" s="5"/>
      <c r="D14" s="5"/>
      <c r="E14" s="5"/>
      <c r="F14" s="5"/>
      <c r="G14" s="5"/>
      <c r="H14" s="7"/>
    </row>
    <row r="15" spans="1:8" x14ac:dyDescent="0.25">
      <c r="A15" s="5"/>
      <c r="B15" s="5"/>
      <c r="C15" s="5"/>
      <c r="D15" s="5"/>
      <c r="E15" s="5"/>
      <c r="F15" s="5"/>
      <c r="G15" s="5"/>
      <c r="H15" s="7"/>
    </row>
    <row r="16" spans="1:8" x14ac:dyDescent="0.25">
      <c r="A16" s="5"/>
      <c r="B16" s="5"/>
      <c r="C16" s="5"/>
      <c r="D16" s="5"/>
      <c r="E16" s="5"/>
      <c r="F16" s="5"/>
      <c r="G16" s="5"/>
      <c r="H16" s="7"/>
    </row>
    <row r="17" spans="1:8" x14ac:dyDescent="0.25">
      <c r="A17" s="5"/>
      <c r="B17" s="5"/>
      <c r="C17" s="5"/>
      <c r="D17" s="5"/>
      <c r="E17" s="5"/>
      <c r="F17" s="5"/>
      <c r="G17" s="5"/>
      <c r="H17" s="7"/>
    </row>
    <row r="18" spans="1:8" x14ac:dyDescent="0.25">
      <c r="A18" s="5"/>
      <c r="B18" s="5"/>
      <c r="C18" s="5"/>
      <c r="D18" s="5"/>
      <c r="E18" s="5"/>
      <c r="F18" s="5"/>
      <c r="G18" s="5"/>
      <c r="H18" s="7"/>
    </row>
    <row r="19" spans="1:8" x14ac:dyDescent="0.25">
      <c r="A19" s="5"/>
      <c r="B19" s="5"/>
      <c r="C19" s="5"/>
      <c r="D19" s="5"/>
      <c r="E19" s="5"/>
      <c r="F19" s="5"/>
      <c r="G19" s="5"/>
      <c r="H19" s="7"/>
    </row>
    <row r="20" spans="1:8" x14ac:dyDescent="0.25">
      <c r="A20" s="5"/>
      <c r="B20" s="5"/>
      <c r="C20" s="5"/>
      <c r="D20" s="5"/>
      <c r="E20" s="5"/>
      <c r="F20" s="5"/>
      <c r="G20" s="5"/>
      <c r="H20" s="7"/>
    </row>
    <row r="21" spans="1:8" x14ac:dyDescent="0.25">
      <c r="A21" s="5"/>
      <c r="B21" s="5"/>
      <c r="C21" s="5"/>
      <c r="D21" s="5"/>
      <c r="E21" s="5"/>
      <c r="F21" s="5"/>
      <c r="G21" s="5"/>
      <c r="H21" s="7"/>
    </row>
    <row r="22" spans="1:8" x14ac:dyDescent="0.25">
      <c r="A22" s="5"/>
      <c r="B22" s="5"/>
      <c r="C22" s="5"/>
      <c r="D22" s="5"/>
      <c r="E22" s="5"/>
      <c r="F22" s="5"/>
      <c r="G22" s="5"/>
      <c r="H22" s="7"/>
    </row>
    <row r="23" spans="1:8" x14ac:dyDescent="0.25">
      <c r="A23" s="5"/>
      <c r="B23" s="5"/>
      <c r="C23" s="5"/>
      <c r="D23" s="5"/>
      <c r="E23" s="5"/>
      <c r="F23" s="5"/>
      <c r="G23" s="5"/>
      <c r="H23" s="7"/>
    </row>
    <row r="24" spans="1:8" x14ac:dyDescent="0.25">
      <c r="A24" s="5"/>
      <c r="B24" s="5"/>
      <c r="C24" s="5"/>
      <c r="D24" s="5"/>
      <c r="E24" s="5"/>
      <c r="F24" s="5"/>
      <c r="G24" s="5"/>
      <c r="H24" s="7"/>
    </row>
    <row r="25" spans="1:8" x14ac:dyDescent="0.25">
      <c r="A25" s="5"/>
      <c r="B25" s="5"/>
      <c r="C25" s="5"/>
      <c r="D25" s="5"/>
      <c r="E25" s="5"/>
      <c r="F25" s="5"/>
      <c r="G25" s="5"/>
      <c r="H25" s="7"/>
    </row>
    <row r="26" spans="1:8" x14ac:dyDescent="0.25">
      <c r="A26" s="5"/>
      <c r="B26" s="5"/>
      <c r="C26" s="5"/>
      <c r="D26" s="5"/>
      <c r="E26" s="5"/>
      <c r="F26" s="5"/>
      <c r="G26" s="5"/>
      <c r="H26" s="7"/>
    </row>
    <row r="27" spans="1:8" x14ac:dyDescent="0.25">
      <c r="A27" s="5"/>
      <c r="B27" s="5"/>
      <c r="C27" s="5"/>
      <c r="D27" s="5"/>
      <c r="E27" s="5"/>
      <c r="F27" s="5"/>
      <c r="G27" s="5"/>
      <c r="H27" s="7"/>
    </row>
    <row r="28" spans="1:8" x14ac:dyDescent="0.25">
      <c r="A28" s="5"/>
      <c r="B28" s="5"/>
      <c r="C28" s="5"/>
      <c r="D28" s="5"/>
      <c r="E28" s="5"/>
      <c r="F28" s="5"/>
      <c r="G28" s="5"/>
      <c r="H28" s="7"/>
    </row>
    <row r="29" spans="1:8" x14ac:dyDescent="0.25">
      <c r="A29" s="5"/>
      <c r="B29" s="5"/>
      <c r="C29" s="5"/>
      <c r="D29" s="5"/>
      <c r="E29" s="5"/>
      <c r="F29" s="5"/>
      <c r="G29" s="5"/>
      <c r="H29" s="7"/>
    </row>
    <row r="30" spans="1:8" x14ac:dyDescent="0.25">
      <c r="A30" s="5"/>
      <c r="B30" s="5"/>
      <c r="C30" s="5"/>
      <c r="D30" s="5"/>
      <c r="E30" s="5"/>
      <c r="F30" s="5"/>
      <c r="G30" s="5"/>
      <c r="H30" s="7"/>
    </row>
    <row r="31" spans="1:8" x14ac:dyDescent="0.25">
      <c r="A31" s="5"/>
      <c r="B31" s="5"/>
      <c r="C31" s="5"/>
      <c r="D31" s="5"/>
      <c r="E31" s="5"/>
      <c r="F31" s="5"/>
      <c r="G31" s="5"/>
      <c r="H31" s="7"/>
    </row>
    <row r="32" spans="1:8" x14ac:dyDescent="0.25">
      <c r="A32" s="5"/>
      <c r="B32" s="5"/>
      <c r="C32" s="5"/>
      <c r="D32" s="5"/>
      <c r="E32" s="5"/>
      <c r="F32" s="5"/>
      <c r="G32" s="5"/>
      <c r="H32" s="7"/>
    </row>
    <row r="33" spans="1:8" x14ac:dyDescent="0.25">
      <c r="A33" s="5"/>
      <c r="B33" s="5"/>
      <c r="C33" s="5"/>
      <c r="D33" s="5"/>
      <c r="E33" s="5"/>
      <c r="F33" s="5"/>
      <c r="G33" s="5"/>
      <c r="H33" s="7"/>
    </row>
  </sheetData>
  <mergeCells count="2">
    <mergeCell ref="A1:H1"/>
    <mergeCell ref="A2:H2"/>
  </mergeCells>
  <dataValidations count="2">
    <dataValidation type="date" operator="greaterThan" allowBlank="1" showErrorMessage="1" error="A date, e.g. 2027-03-15" sqref="H10:H33">
      <formula1>43831</formula1>
    </dataValidation>
    <dataValidation type="date" operator="greaterThan" allowBlank="1" showErrorMessage="1" error="A date, e.g. 2027-03-15" sqref="H4:H33">
      <formula1>43831</formula1>
    </dataValidation>
  </dataValidations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36" customWidth="1"/>
  </cols>
  <sheetData>
    <row r="1" spans="1:3" x14ac:dyDescent="0.25">
      <c r="A1" s="1" t="s">
        <v>138</v>
      </c>
      <c r="B1" s="1"/>
      <c r="C1" s="1"/>
    </row>
    <row r="2" ht="28" customHeight="1" spans="1:3" x14ac:dyDescent="0.25">
      <c r="A2" s="2" t="s">
        <v>139</v>
      </c>
      <c r="B2" s="2"/>
      <c r="C2" s="2"/>
    </row>
    <row r="3" ht="30" customHeight="1" spans="1:3" x14ac:dyDescent="0.25">
      <c r="A3" s="4" t="s">
        <v>140</v>
      </c>
      <c r="B3" s="4" t="s">
        <v>141</v>
      </c>
      <c r="C3" s="4" t="s">
        <v>126</v>
      </c>
    </row>
    <row r="4" spans="1:3" x14ac:dyDescent="0.25">
      <c r="A4" s="5"/>
      <c r="B4" s="5"/>
      <c r="C4" s="5"/>
    </row>
    <row r="5" spans="1:3" x14ac:dyDescent="0.25">
      <c r="A5" s="5"/>
      <c r="B5" s="5"/>
      <c r="C5" s="5"/>
    </row>
    <row r="6" spans="1:3" x14ac:dyDescent="0.25">
      <c r="A6" s="5"/>
      <c r="B6" s="5"/>
      <c r="C6" s="5"/>
    </row>
    <row r="7" spans="1:3" x14ac:dyDescent="0.25">
      <c r="A7" s="5"/>
      <c r="B7" s="5"/>
      <c r="C7" s="5"/>
    </row>
    <row r="8" spans="1:3" x14ac:dyDescent="0.25">
      <c r="A8" s="5"/>
      <c r="B8" s="5"/>
      <c r="C8" s="5"/>
    </row>
    <row r="9" spans="1:3" x14ac:dyDescent="0.25">
      <c r="A9" s="5"/>
      <c r="B9" s="5"/>
      <c r="C9" s="5"/>
    </row>
    <row r="10" spans="1:3" x14ac:dyDescent="0.25">
      <c r="A10" s="5"/>
      <c r="B10" s="5"/>
      <c r="C10" s="5"/>
    </row>
    <row r="11" spans="1:3" x14ac:dyDescent="0.25">
      <c r="A11" s="5"/>
      <c r="B11" s="5"/>
      <c r="C11" s="5"/>
    </row>
    <row r="12" spans="1:3" x14ac:dyDescent="0.25">
      <c r="A12" s="5"/>
      <c r="B12" s="5"/>
      <c r="C12" s="5"/>
    </row>
    <row r="13" spans="1:3" x14ac:dyDescent="0.25">
      <c r="A13" s="5"/>
      <c r="B13" s="5"/>
      <c r="C13" s="5"/>
    </row>
  </sheetData>
  <mergeCells count="2">
    <mergeCell ref="A1:C1"/>
    <mergeCell ref="A2:C2"/>
  </mergeCells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2" width="46" customWidth="1"/>
    <col min="3" max="3" width="20" customWidth="1"/>
    <col min="4" max="4" width="12" customWidth="1"/>
  </cols>
  <sheetData>
    <row r="1" spans="1:4" x14ac:dyDescent="0.25">
      <c r="A1" s="1" t="s">
        <v>142</v>
      </c>
      <c r="B1" s="1"/>
      <c r="C1" s="1"/>
      <c r="D1" s="1"/>
    </row>
    <row r="2" ht="28" customHeight="1" spans="1:4" x14ac:dyDescent="0.25">
      <c r="A2" s="2" t="s">
        <v>143</v>
      </c>
      <c r="B2" s="2"/>
      <c r="C2" s="2"/>
      <c r="D2" s="2"/>
    </row>
    <row r="3" ht="30" customHeight="1" spans="1:4" x14ac:dyDescent="0.25">
      <c r="A3" s="4" t="s">
        <v>144</v>
      </c>
      <c r="B3" s="4" t="s">
        <v>145</v>
      </c>
      <c r="C3" s="4" t="s">
        <v>146</v>
      </c>
      <c r="D3" s="4" t="s">
        <v>147</v>
      </c>
    </row>
    <row r="4" spans="1:4" x14ac:dyDescent="0.25">
      <c r="A4" s="6" t="s">
        <v>148</v>
      </c>
      <c r="B4" s="5"/>
      <c r="C4" s="5"/>
      <c r="D4" s="7"/>
    </row>
    <row r="5" spans="1:4" x14ac:dyDescent="0.25">
      <c r="A5" s="6" t="s">
        <v>149</v>
      </c>
      <c r="B5" s="5"/>
      <c r="C5" s="5"/>
      <c r="D5" s="7"/>
    </row>
    <row r="6" spans="1:4" x14ac:dyDescent="0.25">
      <c r="A6" s="6" t="s">
        <v>150</v>
      </c>
      <c r="B6" s="5"/>
      <c r="C6" s="5"/>
      <c r="D6" s="7"/>
    </row>
    <row r="7" spans="1:4" x14ac:dyDescent="0.25">
      <c r="A7" s="6" t="s">
        <v>151</v>
      </c>
      <c r="B7" s="5"/>
      <c r="C7" s="5"/>
      <c r="D7" s="7"/>
    </row>
  </sheetData>
  <mergeCells count="2">
    <mergeCell ref="A1:D1"/>
    <mergeCell ref="A2:D2"/>
  </mergeCells>
  <dataValidations count="1">
    <dataValidation type="date" operator="greaterThan" allowBlank="1" showErrorMessage="1" error="A date, e.g. 2027-03-15" sqref="D4:D7">
      <formula1>43831</formula1>
    </dataValidation>
  </dataValidations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90" customWidth="1"/>
  </cols>
  <sheetData>
    <row r="1" spans="1:2" x14ac:dyDescent="0.25">
      <c r="A1" s="1" t="s">
        <v>152</v>
      </c>
      <c r="B1" s="1"/>
    </row>
    <row r="2" ht="28" customHeight="1" spans="1:2" x14ac:dyDescent="0.25">
      <c r="A2" s="2" t="s">
        <v>153</v>
      </c>
      <c r="B2" s="2"/>
    </row>
    <row r="4" spans="1:2" x14ac:dyDescent="0.25">
      <c r="A4" s="4" t="s">
        <v>154</v>
      </c>
      <c r="B4" s="13" t="s">
        <v>155</v>
      </c>
    </row>
    <row r="5" spans="1:2" x14ac:dyDescent="0.25">
      <c r="A5" s="4" t="s">
        <v>156</v>
      </c>
      <c r="B5" s="13" t="s">
        <v>157</v>
      </c>
    </row>
    <row r="6" spans="1:2" x14ac:dyDescent="0.25">
      <c r="A6" s="4" t="s">
        <v>158</v>
      </c>
      <c r="B6" s="13" t="s">
        <v>159</v>
      </c>
    </row>
    <row r="7" spans="1:2" x14ac:dyDescent="0.25">
      <c r="A7" s="4" t="s">
        <v>160</v>
      </c>
      <c r="B7" s="13" t="s">
        <v>161</v>
      </c>
    </row>
    <row r="8" spans="1:2" x14ac:dyDescent="0.25">
      <c r="A8" s="4" t="s">
        <v>162</v>
      </c>
      <c r="B8" s="13" t="s">
        <v>163</v>
      </c>
    </row>
    <row r="9" spans="1:2" x14ac:dyDescent="0.25">
      <c r="A9" s="4" t="s">
        <v>164</v>
      </c>
      <c r="B9" s="13" t="s">
        <v>165</v>
      </c>
    </row>
    <row r="11" spans="1:2" x14ac:dyDescent="0.25">
      <c r="A11" s="14" t="s">
        <v>166</v>
      </c>
      <c r="B11" s="13" t="s">
        <v>167</v>
      </c>
    </row>
    <row r="12" spans="1:2" x14ac:dyDescent="0.25">
      <c r="A12" s="15" t="s">
        <v>168</v>
      </c>
      <c r="B12" s="13" t="s">
        <v>169</v>
      </c>
    </row>
    <row r="13" spans="1:2" x14ac:dyDescent="0.25">
      <c r="A13" s="4" t="s">
        <v>53</v>
      </c>
      <c r="B13" s="13" t="s">
        <v>170</v>
      </c>
    </row>
    <row r="14" spans="1:2" x14ac:dyDescent="0.25">
      <c r="A14" s="4" t="s">
        <v>171</v>
      </c>
      <c r="B14" s="13" t="s">
        <v>172</v>
      </c>
    </row>
    <row r="16" spans="1:1" x14ac:dyDescent="0.25">
      <c r="A16" s="16" t="s">
        <v>173</v>
      </c>
    </row>
    <row r="17" spans="1:2" x14ac:dyDescent="0.25">
      <c r="A17" s="4" t="s">
        <v>48</v>
      </c>
      <c r="B17" s="13" t="s">
        <v>174</v>
      </c>
    </row>
    <row r="18" spans="1:2" x14ac:dyDescent="0.25">
      <c r="A18" s="4" t="s">
        <v>175</v>
      </c>
      <c r="B18" s="13" t="s">
        <v>176</v>
      </c>
    </row>
    <row r="19" spans="1:2" x14ac:dyDescent="0.25">
      <c r="A19" s="4" t="s">
        <v>177</v>
      </c>
      <c r="B19" s="13" t="s">
        <v>178</v>
      </c>
    </row>
    <row r="20" spans="1:2" x14ac:dyDescent="0.25">
      <c r="A20" s="4" t="s">
        <v>179</v>
      </c>
      <c r="B20" s="13" t="s">
        <v>180</v>
      </c>
    </row>
    <row r="21" spans="1:2" x14ac:dyDescent="0.25">
      <c r="A21" s="4" t="s">
        <v>52</v>
      </c>
      <c r="B21" s="13" t="s">
        <v>181</v>
      </c>
    </row>
    <row r="22" spans="1:2" x14ac:dyDescent="0.25">
      <c r="A22" s="4" t="s">
        <v>53</v>
      </c>
      <c r="B22" s="13" t="s">
        <v>182</v>
      </c>
    </row>
    <row r="23" spans="1:2" x14ac:dyDescent="0.25">
      <c r="A23" s="4" t="s">
        <v>32</v>
      </c>
      <c r="B23" s="13" t="s">
        <v>183</v>
      </c>
    </row>
  </sheetData>
  <mergeCells count="2">
    <mergeCell ref="A1:B1"/>
    <mergeCell ref="A2:B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Sign-off</vt:lpstr>
      <vt:lpstr>Checklist</vt:lpstr>
      <vt:lpstr>Open issues</vt:lpstr>
      <vt:lpstr>Waivers</vt:lpstr>
      <vt:lpstr>Residual risk statement</vt:lpstr>
      <vt:lpstr>Handover</vt:lpstr>
      <vt:lpstr>Guide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AtlasPM</dc:creator>
  <dc:title>ESO-D7 — Signoff summary and Design Freeze package</dc:title>
  <dc:subject/>
  <dc:description/>
  <cp:keywords/>
  <cp:category/>
  <cp:lastModifiedBy>Unknown</cp:lastModifiedBy>
  <dcterms:created xsi:type="dcterms:W3CDTF">2026-09-27T06:00:50Z</dcterms:created>
  <dcterms:modified xsi:type="dcterms:W3CDTF">2026-09-27T06:00:50Z</dcterms:modified>
</cp:coreProperties>
</file>