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-off" state="visible" r:id="rId4"/>
    <sheet sheetId="2" name="Checklist" state="visible" r:id="rId5"/>
    <sheet sheetId="3" name="Open issues" state="visible" r:id="rId6"/>
    <sheet sheetId="4" name="Waivers" state="visible" r:id="rId7"/>
    <sheet sheetId="5" name="Conditions for reopening" state="visible" r:id="rId8"/>
    <sheet sheetId="6" name="Handover" state="visible" r:id="rId9"/>
    <sheet sheetId="7" name="Guide" state="visible" r:id="rId10"/>
  </sheets>
  <calcPr calcId="171027" fullCalcOnLoad="1"/>
</workbook>
</file>

<file path=xl/sharedStrings.xml><?xml version="1.0" encoding="utf-8"?>
<sst xmlns="http://schemas.openxmlformats.org/spreadsheetml/2006/main" count="279" uniqueCount="188">
  <si>
    <t>PMU-D7 — PMU and always-on signoff</t>
  </si>
  <si>
    <t>Sign-off for PMU-D7, produced by PMU-07 PMU and Always-On Signoff. Work through the Checklist first; this sheet counts it. See Guide for how to use the workbook.</t>
  </si>
  <si>
    <t>Document control</t>
  </si>
  <si>
    <t>Programme</t>
  </si>
  <si>
    <t/>
  </si>
  <si>
    <t>Deliverable</t>
  </si>
  <si>
    <t>Stage</t>
  </si>
  <si>
    <t>Power Management, Clocks &amp; Always-On</t>
  </si>
  <si>
    <t>Producing activity</t>
  </si>
  <si>
    <t>PMU-07 — PMU and Always-On Signoff</t>
  </si>
  <si>
    <t>Activity owner</t>
  </si>
  <si>
    <t>Analog design lead</t>
  </si>
  <si>
    <t>Version</t>
  </si>
  <si>
    <t>Date issued for review</t>
  </si>
  <si>
    <t>Readiness — counted from the Checklist</t>
  </si>
  <si>
    <t>Items to confirm</t>
  </si>
  <si>
    <t>Owner status — Pass</t>
  </si>
  <si>
    <t>Owner status — Waived</t>
  </si>
  <si>
    <t>Owner status — N/A</t>
  </si>
  <si>
    <t>Owner status — Fail</t>
  </si>
  <si>
    <t>Owner status — Open or blank</t>
  </si>
  <si>
    <t>Stage lead — Confirmed</t>
  </si>
  <si>
    <t>Stage lead — Rejected</t>
  </si>
  <si>
    <t>Stage lead — Pending or blank</t>
  </si>
  <si>
    <t>Confirmed so far</t>
  </si>
  <si>
    <t>Rows flagged on the Checklist</t>
  </si>
  <si>
    <t>Critical or High issues still Open</t>
  </si>
  <si>
    <t>Waivers without an approver</t>
  </si>
  <si>
    <t>Suggested outcome</t>
  </si>
  <si>
    <t>Final decision — stage lead</t>
  </si>
  <si>
    <t>Decision</t>
  </si>
  <si>
    <t>Conditions (if any)</t>
  </si>
  <si>
    <t>Stage lead</t>
  </si>
  <si>
    <t>Decided on</t>
  </si>
  <si>
    <t>Consistency check</t>
  </si>
  <si>
    <t>Sign-off by role</t>
  </si>
  <si>
    <t>Role</t>
  </si>
  <si>
    <t>Name</t>
  </si>
  <si>
    <t>Date</t>
  </si>
  <si>
    <t>Comment</t>
  </si>
  <si>
    <t>Reliability signoff engineer</t>
  </si>
  <si>
    <t>Power delivery engineer</t>
  </si>
  <si>
    <t>Power architect</t>
  </si>
  <si>
    <t>Physical design lead</t>
  </si>
  <si>
    <t>PMU-D7 checklist — confirm every item on its evidence</t>
  </si>
  <si>
    <t>Owners fill Result, Evidence, Evidence owner and Owner status. The stage lead then confirms or rejects each item, naming who confirmed it and when. Yellow cells are for input; grey cells come from the template. The Flag column names any row that cannot yet be confirmed as filled in.</t>
  </si>
  <si>
    <t>ID</t>
  </si>
  <si>
    <t>Section</t>
  </si>
  <si>
    <t>Item</t>
  </si>
  <si>
    <t>Target / acceptance</t>
  </si>
  <si>
    <t>Result or measured value</t>
  </si>
  <si>
    <t>Evidence — link or file name</t>
  </si>
  <si>
    <t>Evidence owner</t>
  </si>
  <si>
    <t>Owner status</t>
  </si>
  <si>
    <t>Waiver ID</t>
  </si>
  <si>
    <t>Stage lead confirmation</t>
  </si>
  <si>
    <t>Stage lead comment</t>
  </si>
  <si>
    <t>Confirmed by</t>
  </si>
  <si>
    <t>Confirmed on</t>
  </si>
  <si>
    <t>Flag</t>
  </si>
  <si>
    <t>B-01</t>
  </si>
  <si>
    <t>Baseline</t>
  </si>
  <si>
    <t>Analog macro view release (regulators, POR/BOR, oscillators, PLL)</t>
  </si>
  <si>
    <t>Version, tag or ID recorded</t>
  </si>
  <si>
    <t>Open</t>
  </si>
  <si>
    <t>Pending</t>
  </si>
  <si>
    <t>B-02</t>
  </si>
  <si>
    <t>Top-level database and run signed off on</t>
  </si>
  <si>
    <t>B-03</t>
  </si>
  <si>
    <t>ESD / latch-up rule deck version</t>
  </si>
  <si>
    <t>B-04</t>
  </si>
  <si>
    <t>Energy budget version (PMU-D6)</t>
  </si>
  <si>
    <t>E-01</t>
  </si>
  <si>
    <t>Entry criteria</t>
  </si>
  <si>
    <t>Macros released from PMU-05</t>
  </si>
  <si>
    <t>Met</t>
  </si>
  <si>
    <t>E-02</t>
  </si>
  <si>
    <t>Energy budget verified in PMU-06</t>
  </si>
  <si>
    <t>E-03</t>
  </si>
  <si>
    <t>First top-level runs available from EPD-01 and EPD-03</t>
  </si>
  <si>
    <t>C-01</t>
  </si>
  <si>
    <t>Checks</t>
  </si>
  <si>
    <t>ESD on every supply pin — HBM and CDM</t>
  </si>
  <si>
    <t>Meets the pin classification target</t>
  </si>
  <si>
    <t>C-02</t>
  </si>
  <si>
    <t>Latch-up spacing around the regulators and I/O</t>
  </si>
  <si>
    <t>No violations</t>
  </si>
  <si>
    <t>C-03</t>
  </si>
  <si>
    <t>Electromigration on regulator outputs and supply straps</t>
  </si>
  <si>
    <t>Clean at the hot corner</t>
  </si>
  <si>
    <t>C-04</t>
  </si>
  <si>
    <t>Analog macros clean in top-level DRC and LVS</t>
  </si>
  <si>
    <t>Zero errors or waived</t>
  </si>
  <si>
    <t>C-05</t>
  </si>
  <si>
    <t>POR and brown-out thresholds in context</t>
  </si>
  <si>
    <t>Match the power architecture specification</t>
  </si>
  <si>
    <t>C-06</t>
  </si>
  <si>
    <t>Regulator line and load response across 1.8–5.5 V in context</t>
  </si>
  <si>
    <t>Within specification</t>
  </si>
  <si>
    <t>C-07</t>
  </si>
  <si>
    <t>Sleep and deep-sleep current estimate after integration</t>
  </si>
  <si>
    <t>Within the PMU-D6 budget</t>
  </si>
  <si>
    <t>C-08</t>
  </si>
  <si>
    <t>Oscillator placement and noise isolation</t>
  </si>
  <si>
    <t>Per layout guidance</t>
  </si>
  <si>
    <t>X-01</t>
  </si>
  <si>
    <t>Exit criteria</t>
  </si>
  <si>
    <t>ESD, latch-up and EM clean or waived with a condition</t>
  </si>
  <si>
    <t>X-02</t>
  </si>
  <si>
    <t>Macros confirmed in the top-level runs</t>
  </si>
  <si>
    <t>X-03</t>
  </si>
  <si>
    <t>Signoff recorded with the conditions for reopening it</t>
  </si>
  <si>
    <t>F-01</t>
  </si>
  <si>
    <t>Failure modes</t>
  </si>
  <si>
    <t>Signoff on the first top-level runs taken as final. The final signoff runs come later in ESO, and a change to the macros or their surroundings has to reopen this signoff.</t>
  </si>
  <si>
    <t>Addressed — say how in the result</t>
  </si>
  <si>
    <t>F-02</t>
  </si>
  <si>
    <t>ESD on supply pins checked only at library level. The regulator’s own devices sit on the pin, and the path through them is not in the library qualification.</t>
  </si>
  <si>
    <t>F-03</t>
  </si>
  <si>
    <t>Latch-up spacing near the regulators waived. High-current output devices beside core logic are exactly where latch-up occurs.</t>
  </si>
  <si>
    <t>F-04</t>
  </si>
  <si>
    <t>Analog waivers closed without a condition. A waiver accepted for this layout silently carries into the next revision.</t>
  </si>
  <si>
    <t>F-05</t>
  </si>
  <si>
    <t>Sleep current not re-checked after integration. Leakage paths added at the top level raise the deep-sleep number the macro met on its own.</t>
  </si>
  <si>
    <t>Open issues</t>
  </si>
  <si>
    <t>Anything that stops an item being confirmed. Link it to the checklist item it blocks. A Critical or High issue left Open blocks the sign-off.</t>
  </si>
  <si>
    <t>Issue ID</t>
  </si>
  <si>
    <t>Description</t>
  </si>
  <si>
    <t>Linked item ID</t>
  </si>
  <si>
    <t>Severity</t>
  </si>
  <si>
    <t>Owner</t>
  </si>
  <si>
    <t>Due</t>
  </si>
  <si>
    <t>Status</t>
  </si>
  <si>
    <t>Disposition</t>
  </si>
  <si>
    <t>Waivers</t>
  </si>
  <si>
    <t>Every item whose Owner status is Waived needs a row here, and every waiver needs an approver. A waiver without one blocks the sign-off.</t>
  </si>
  <si>
    <t>Check or rule waived</t>
  </si>
  <si>
    <t>Justification</t>
  </si>
  <si>
    <t>Risk accepted</t>
  </si>
  <si>
    <t>Condition or expiry</t>
  </si>
  <si>
    <t>Approved by</t>
  </si>
  <si>
    <t>Approved on</t>
  </si>
  <si>
    <t>Conditions for reopening</t>
  </si>
  <si>
    <t>The first top-level runs are not the final ones. List what change reopens this signoff.</t>
  </si>
  <si>
    <t>Trigger</t>
  </si>
  <si>
    <t>What is re-checked</t>
  </si>
  <si>
    <t>Handover</t>
  </si>
  <si>
    <t>Who receives PMU-D7, and what they take from it. The receiving owner records receipt.</t>
  </si>
  <si>
    <t>Receiving activity</t>
  </si>
  <si>
    <t>What it takes from this deliverable</t>
  </si>
  <si>
    <t>Received by</t>
  </si>
  <si>
    <t>Received on</t>
  </si>
  <si>
    <t>ESO-05 — Static and Dynamic EM / IR-Drop Signoff</t>
  </si>
  <si>
    <t>ESO-06 — ESD, Latch-Up, and Soft Error / FIT Verification</t>
  </si>
  <si>
    <t>EBU-02 — Power-On, Power Sequencing, and Basic Health Check</t>
  </si>
  <si>
    <t>EBU-03 — Reset, Clocking, and PLL Lock Validation</t>
  </si>
  <si>
    <t>How to use this workbook</t>
  </si>
  <si>
    <t>PMU-D7 is signed off on evidence, item by item. This sheet says who fills what.</t>
  </si>
  <si>
    <t>1. Owners</t>
  </si>
  <si>
    <t>On the Checklist, for each item: write the Result or measured value, the Evidence (a link to the report, dashboard or file name), who owns that evidence, and set Owner status. Waived needs a Waiver ID that exists on the Waivers sheet.</t>
  </si>
  <si>
    <t>2. Stage lead</t>
  </si>
  <si>
    <t>Review each item against its evidence. Set Stage lead confirmation to Confirmed, or Rejected with a comment saying what is missing. Name who confirmed it in Confirmed by, and date every confirmation.</t>
  </si>
  <si>
    <t>3. Flags</t>
  </si>
  <si>
    <t>The Flag column names any row that is not yet supported: evidence missing, a waiver without an ID, a rejection without a comment, a confirmation of a failing item, a confirmation or rejection nobody put their name to, or an undated confirmation. Clear every flag.</t>
  </si>
  <si>
    <t>4. Issues and waivers</t>
  </si>
  <si>
    <t>Record anything blocking an item on Open issues, linked by item ID. A Critical or High issue left Open, or a waiver without an approver, holds the gate.</t>
  </si>
  <si>
    <t>5. Final decision</t>
  </si>
  <si>
    <t>The Sign-off sheet counts the Checklist and suggests an outcome. The stage lead records the Decision, any conditions, and the date. Each role then records its own decision.</t>
  </si>
  <si>
    <t>6. Handover</t>
  </si>
  <si>
    <t>Attach the completed workbook to this deliverable's Handover in AtlasPM and date the handover when it is accepted.</t>
  </si>
  <si>
    <t>Yellow cells</t>
  </si>
  <si>
    <t>Input — fill these in.</t>
  </si>
  <si>
    <t>Grey cells</t>
  </si>
  <si>
    <t>Given by the template from the activity write-up — do not edit.</t>
  </si>
  <si>
    <t>Pass — meets the target. Fail — does not. Waived — does not, and a waiver accepts it. N/A — does not apply, with the reason in Result. Open — not yet assessed.</t>
  </si>
  <si>
    <t>Lead confirmation</t>
  </si>
  <si>
    <t>Pending — not yet reviewed. Confirmed — the evidence supports the status. Rejected — it does not; the comment says why.</t>
  </si>
  <si>
    <t>Example row</t>
  </si>
  <si>
    <t>Macro pin timing — setup and hold, all signoff corners</t>
  </si>
  <si>
    <t>Target</t>
  </si>
  <si>
    <t>Within vendor limits, no negative slack</t>
  </si>
  <si>
    <t>Result</t>
  </si>
  <si>
    <t>Worst setup slack +42 ps (ss_0p72v_125c); worst hold +18 ps (ff_0p88v_m40c)</t>
  </si>
  <si>
    <t>Evidence</t>
  </si>
  <si>
    <t>sta/turn3/emram_pins_summary.rpt (run 2027-05-14)</t>
  </si>
  <si>
    <t>Timing closure lead</t>
  </si>
  <si>
    <t>Pass</t>
  </si>
  <si>
    <t>Confirmed — 2027-05-16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</si>
</sst>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color rgb="FF1F2328"/>
      <sz val="14"/>
      <name val="Arial"/>
    </font>
    <font>
      <i/>
      <color rgb="FF6E7781"/>
      <sz val="9"/>
      <name val="Arial"/>
    </font>
    <font>
      <b/>
      <color rgb="FF5B5BD6"/>
      <sz val="11"/>
      <name val="Arial"/>
    </font>
    <font>
      <b/>
      <color rgb="FF1F2328"/>
      <sz val="9"/>
      <name val="Arial"/>
    </font>
    <font>
      <color rgb="FF1F2328"/>
      <sz val="10"/>
      <name val="Arial"/>
    </font>
    <font>
      <b/>
      <color rgb="FF1F2328"/>
      <sz val="10"/>
      <name val="Arial"/>
    </font>
    <font>
      <b/>
      <color rgb="FFCF222E"/>
      <sz val="10"/>
      <name val="Arial"/>
    </font>
    <font>
      <b/>
      <color rgb="FF5B5BD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EF0FB"/>
      </patternFill>
    </fill>
    <fill>
      <patternFill patternType="solid">
        <fgColor rgb="FFFFF8D6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9" fontId="5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FFEFC6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2" customWidth="1"/>
    <col min="3" max="3" width="20" customWidth="1"/>
    <col min="4" max="4" width="18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5" t="s">
        <v>4</v>
      </c>
      <c r="C5" s="5"/>
      <c r="D5" s="5"/>
      <c r="E5" s="5"/>
    </row>
    <row r="6" spans="1:5" x14ac:dyDescent="0.25">
      <c r="A6" s="4" t="s">
        <v>5</v>
      </c>
      <c r="B6" s="6" t="s">
        <v>0</v>
      </c>
      <c r="C6" s="6"/>
      <c r="D6" s="6"/>
      <c r="E6" s="6"/>
    </row>
    <row r="7" spans="1:5" x14ac:dyDescent="0.25">
      <c r="A7" s="4" t="s">
        <v>6</v>
      </c>
      <c r="B7" s="6" t="s">
        <v>7</v>
      </c>
      <c r="C7" s="6"/>
      <c r="D7" s="6"/>
      <c r="E7" s="6"/>
    </row>
    <row r="8" spans="1:5" x14ac:dyDescent="0.25">
      <c r="A8" s="4" t="s">
        <v>8</v>
      </c>
      <c r="B8" s="6" t="s">
        <v>9</v>
      </c>
      <c r="C8" s="6"/>
      <c r="D8" s="6"/>
      <c r="E8" s="6"/>
    </row>
    <row r="9" spans="1:5" x14ac:dyDescent="0.25">
      <c r="A9" s="4" t="s">
        <v>10</v>
      </c>
      <c r="B9" s="6" t="s">
        <v>11</v>
      </c>
      <c r="C9" s="6"/>
      <c r="D9" s="6"/>
      <c r="E9" s="6"/>
    </row>
    <row r="10" spans="1:5" x14ac:dyDescent="0.25">
      <c r="A10" s="4" t="s">
        <v>12</v>
      </c>
      <c r="B10" s="5" t="s">
        <v>4</v>
      </c>
      <c r="C10" s="5"/>
      <c r="D10" s="5"/>
      <c r="E10" s="5"/>
    </row>
    <row r="11" spans="1:5" x14ac:dyDescent="0.25">
      <c r="A11" s="4" t="s">
        <v>13</v>
      </c>
      <c r="B11" s="7" t="s">
        <v>4</v>
      </c>
      <c r="C11" s="7"/>
      <c r="D11" s="7"/>
      <c r="E11" s="7"/>
    </row>
    <row r="13" spans="1:5" x14ac:dyDescent="0.25">
      <c r="A13" s="3" t="s">
        <v>14</v>
      </c>
      <c r="B13" s="3"/>
      <c r="C13" s="3"/>
      <c r="D13" s="3"/>
      <c r="E13" s="3"/>
    </row>
    <row r="14" spans="1:5" x14ac:dyDescent="0.25">
      <c r="A14" s="4" t="s">
        <v>15</v>
      </c>
      <c r="B14" s="6">
        <f>SUMPRODUCT(--(LEN(Checklist!$C$4:$C$36)&gt;0))</f>
        <v>23</v>
      </c>
      <c r="C14" s="6"/>
      <c r="D14" s="6"/>
      <c r="E14" s="6"/>
    </row>
    <row r="15" spans="1:5" x14ac:dyDescent="0.25">
      <c r="A15" s="4" t="s">
        <v>16</v>
      </c>
      <c r="B15" s="6">
        <f>COUNTIFS(Checklist!$C$4:$C$36,"&lt;&gt;",Checklist!$H$4:$H$36,"Pass")</f>
        <v>0</v>
      </c>
      <c r="C15" s="6"/>
      <c r="D15" s="6"/>
      <c r="E15" s="6"/>
    </row>
    <row r="16" spans="1:5" x14ac:dyDescent="0.25">
      <c r="A16" s="4" t="s">
        <v>17</v>
      </c>
      <c r="B16" s="6">
        <f>COUNTIFS(Checklist!$C$4:$C$36,"&lt;&gt;",Checklist!$H$4:$H$36,"Waived")</f>
        <v>0</v>
      </c>
      <c r="C16" s="6"/>
      <c r="D16" s="6"/>
      <c r="E16" s="6"/>
    </row>
    <row r="17" spans="1:5" x14ac:dyDescent="0.25">
      <c r="A17" s="4" t="s">
        <v>18</v>
      </c>
      <c r="B17" s="6">
        <f>COUNTIFS(Checklist!$C$4:$C$36,"&lt;&gt;",Checklist!$H$4:$H$36,"N/A")</f>
        <v>0</v>
      </c>
      <c r="C17" s="6"/>
      <c r="D17" s="6"/>
      <c r="E17" s="6"/>
    </row>
    <row r="18" spans="1:5" x14ac:dyDescent="0.25">
      <c r="A18" s="4" t="s">
        <v>19</v>
      </c>
      <c r="B18" s="6">
        <f>COUNTIFS(Checklist!$C$4:$C$36,"&lt;&gt;",Checklist!$H$4:$H$36,"Fail")</f>
        <v>0</v>
      </c>
      <c r="C18" s="6"/>
      <c r="D18" s="6"/>
      <c r="E18" s="6"/>
    </row>
    <row r="19" spans="1:5" x14ac:dyDescent="0.25">
      <c r="A19" s="4" t="s">
        <v>20</v>
      </c>
      <c r="B19" s="6">
        <f>COUNTIFS(Checklist!$C$4:$C$36,"&lt;&gt;",Checklist!$H$4:$H$36,"Open")+COUNTIFS(Checklist!$C$4:$C$36,"&lt;&gt;",Checklist!$H$4:$H$36,"")</f>
        <v>23</v>
      </c>
      <c r="C19" s="6"/>
      <c r="D19" s="6"/>
      <c r="E19" s="6"/>
    </row>
    <row r="20" spans="1:5" x14ac:dyDescent="0.25">
      <c r="A20" s="4" t="s">
        <v>21</v>
      </c>
      <c r="B20" s="6">
        <f>COUNTIFS(Checklist!$C$4:$C$36,"&lt;&gt;",Checklist!$J$4:$J$36,"Confirmed")</f>
        <v>0</v>
      </c>
      <c r="C20" s="6"/>
      <c r="D20" s="6"/>
      <c r="E20" s="6"/>
    </row>
    <row r="21" spans="1:5" x14ac:dyDescent="0.25">
      <c r="A21" s="4" t="s">
        <v>22</v>
      </c>
      <c r="B21" s="6">
        <f>COUNTIFS(Checklist!$C$4:$C$36,"&lt;&gt;",Checklist!$J$4:$J$36,"Rejected")</f>
        <v>0</v>
      </c>
      <c r="C21" s="6"/>
      <c r="D21" s="6"/>
      <c r="E21" s="6"/>
    </row>
    <row r="22" spans="1:5" x14ac:dyDescent="0.25">
      <c r="A22" s="4" t="s">
        <v>23</v>
      </c>
      <c r="B22" s="6">
        <f>COUNTIFS(Checklist!$C$4:$C$36,"&lt;&gt;",Checklist!$J$4:$J$36,"Pending")+COUNTIFS(Checklist!$C$4:$C$36,"&lt;&gt;",Checklist!$J$4:$J$36,"")</f>
        <v>23</v>
      </c>
      <c r="C22" s="6"/>
      <c r="D22" s="6"/>
      <c r="E22" s="6"/>
    </row>
    <row r="23" spans="1:5" x14ac:dyDescent="0.25">
      <c r="A23" s="4" t="s">
        <v>24</v>
      </c>
      <c r="B23" s="8">
        <f>IF(B14=0,0,B20/B14)</f>
        <v>0</v>
      </c>
      <c r="C23" s="8"/>
      <c r="D23" s="8"/>
      <c r="E23" s="8"/>
    </row>
    <row r="24" spans="1:5" x14ac:dyDescent="0.25">
      <c r="A24" s="4" t="s">
        <v>25</v>
      </c>
      <c r="B24" s="6">
        <f>SUMPRODUCT(--(LEN(Checklist!$N$4:$N$36)&gt;0))</f>
        <v>0</v>
      </c>
      <c r="C24" s="6"/>
      <c r="D24" s="6"/>
      <c r="E24" s="6"/>
    </row>
    <row r="25" spans="1:5" x14ac:dyDescent="0.25">
      <c r="A25" s="4" t="s">
        <v>26</v>
      </c>
      <c r="B25" s="6">
        <f>COUNTIFS('Open issues'!$D$4:$D$43,"Critical",'Open issues'!$G$4:$G$43,"Open")+COUNTIFS('Open issues'!$D$4:$D$43,"High",'Open issues'!$G$4:$G$43,"Open")</f>
        <v>0</v>
      </c>
      <c r="C25" s="6"/>
      <c r="D25" s="6"/>
      <c r="E25" s="6"/>
    </row>
    <row r="26" spans="1:5" x14ac:dyDescent="0.25">
      <c r="A26" s="4" t="s">
        <v>27</v>
      </c>
      <c r="B26" s="6">
        <f>COUNTIFS(Waivers!$A$4:$A$33,"&lt;&gt;",Waivers!$G$4:$G$33,"")</f>
        <v>0</v>
      </c>
      <c r="C26" s="6"/>
      <c r="D26" s="6"/>
      <c r="E26" s="6"/>
    </row>
    <row r="27" spans="1:5" x14ac:dyDescent="0.25">
      <c r="A27" s="4" t="s">
        <v>28</v>
      </c>
      <c r="B27" s="9" t="str">
        <f>IF(OR(B18&gt;0,B21&gt;0,B25&gt;0),"Not ready — blocking items",IF(AND(B14&gt;0,B20=B14,B24=0,B26=0),"Ready to sign off","In review"))</f>
        <v>In review</v>
      </c>
      <c r="C27" s="9"/>
      <c r="D27" s="9"/>
      <c r="E27" s="9"/>
    </row>
    <row r="29" spans="1:5" x14ac:dyDescent="0.25">
      <c r="A29" s="3" t="s">
        <v>29</v>
      </c>
      <c r="B29" s="3"/>
      <c r="C29" s="3"/>
      <c r="D29" s="3"/>
      <c r="E29" s="3"/>
    </row>
    <row r="30" spans="1:5" x14ac:dyDescent="0.25">
      <c r="A30" s="4" t="s">
        <v>30</v>
      </c>
      <c r="B30" s="10" t="s">
        <v>4</v>
      </c>
      <c r="C30" s="10"/>
      <c r="D30" s="10"/>
      <c r="E30" s="10"/>
    </row>
    <row r="31" spans="1:5" x14ac:dyDescent="0.25">
      <c r="A31" s="4" t="s">
        <v>31</v>
      </c>
      <c r="B31" s="5" t="s">
        <v>4</v>
      </c>
      <c r="C31" s="5"/>
      <c r="D31" s="5"/>
      <c r="E31" s="5"/>
    </row>
    <row r="32" spans="1:5" x14ac:dyDescent="0.25">
      <c r="A32" s="4" t="s">
        <v>32</v>
      </c>
      <c r="B32" s="5" t="s">
        <v>4</v>
      </c>
      <c r="C32" s="5"/>
      <c r="D32" s="5"/>
      <c r="E32" s="5"/>
    </row>
    <row r="33" spans="1:5" x14ac:dyDescent="0.25">
      <c r="A33" s="4" t="s">
        <v>33</v>
      </c>
      <c r="B33" s="7" t="s">
        <v>4</v>
      </c>
      <c r="C33" s="7"/>
      <c r="D33" s="7"/>
      <c r="E33" s="7"/>
    </row>
    <row r="34" spans="1:5" x14ac:dyDescent="0.25">
      <c r="A34" s="4" t="s">
        <v>34</v>
      </c>
      <c r="B34" s="11" t="str">
        <f>IF(AND(B30="Signed off",B27&lt;&gt;"Ready to sign off"),"Signed off while the checklist is not ready — record the reason in Conditions","")</f>
        <v/>
      </c>
      <c r="C34" s="11"/>
      <c r="D34" s="11"/>
      <c r="E34" s="11"/>
    </row>
    <row r="36" spans="1:5" x14ac:dyDescent="0.25">
      <c r="A36" s="3" t="s">
        <v>35</v>
      </c>
      <c r="B36" s="3"/>
      <c r="C36" s="3"/>
      <c r="D36" s="3"/>
      <c r="E36" s="3"/>
    </row>
    <row r="37" spans="1:5" x14ac:dyDescent="0.25">
      <c r="A37" s="4" t="s">
        <v>36</v>
      </c>
      <c r="B37" s="4" t="s">
        <v>37</v>
      </c>
      <c r="C37" s="4" t="s">
        <v>30</v>
      </c>
      <c r="D37" s="4" t="s">
        <v>38</v>
      </c>
      <c r="E37" s="4" t="s">
        <v>39</v>
      </c>
    </row>
    <row r="38" spans="1:5" x14ac:dyDescent="0.25">
      <c r="A38" s="6" t="s">
        <v>11</v>
      </c>
      <c r="B38" s="5"/>
      <c r="C38" s="5"/>
      <c r="D38" s="7"/>
      <c r="E38" s="5"/>
    </row>
    <row r="39" spans="1:5" x14ac:dyDescent="0.25">
      <c r="A39" s="6" t="s">
        <v>40</v>
      </c>
      <c r="B39" s="5"/>
      <c r="C39" s="5"/>
      <c r="D39" s="7"/>
      <c r="E39" s="5"/>
    </row>
    <row r="40" spans="1:5" x14ac:dyDescent="0.25">
      <c r="A40" s="6" t="s">
        <v>41</v>
      </c>
      <c r="B40" s="5"/>
      <c r="C40" s="5"/>
      <c r="D40" s="7"/>
      <c r="E40" s="5"/>
    </row>
    <row r="41" spans="1:5" x14ac:dyDescent="0.25">
      <c r="A41" s="6" t="s">
        <v>42</v>
      </c>
      <c r="B41" s="5"/>
      <c r="C41" s="5"/>
      <c r="D41" s="7"/>
      <c r="E41" s="5"/>
    </row>
    <row r="42" spans="1:5" x14ac:dyDescent="0.25">
      <c r="A42" s="6" t="s">
        <v>43</v>
      </c>
      <c r="B42" s="5"/>
      <c r="C42" s="5"/>
      <c r="D42" s="7"/>
      <c r="E42" s="5"/>
    </row>
  </sheetData>
  <mergeCells count="32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9:E29"/>
    <mergeCell ref="B30:E30"/>
    <mergeCell ref="B31:E31"/>
    <mergeCell ref="B32:E32"/>
    <mergeCell ref="B33:E33"/>
    <mergeCell ref="B34:E34"/>
    <mergeCell ref="A36:E36"/>
  </mergeCells>
  <conditionalFormatting sqref="B27">
    <cfRule type="containsText" dxfId="0" priority="1">
      <formula>NOT(ISERROR(SEARCH("Ready",B27)))</formula>
    </cfRule>
    <cfRule type="containsText" dxfId="1" priority="2">
      <formula>NOT(ISERROR(SEARCH("Not ready",B27)))</formula>
    </cfRule>
  </conditionalFormatting>
  <dataValidations count="5">
    <dataValidation type="date" operator="greaterThan" allowBlank="1" showErrorMessage="1" error="A date, e.g. 2027-03-15" sqref="B11">
      <formula1>43831</formula1>
    </dataValidation>
    <dataValidation type="list" allowBlank="1" showErrorMessage="1" errorTitle="Pick from the list" error="One of: Signed off, Signed off with conditions, Not signed off" sqref="B30">
      <formula1>"Signed off,Signed off with conditions,Not signed off"</formula1>
    </dataValidation>
    <dataValidation type="date" operator="greaterThan" allowBlank="1" showErrorMessage="1" error="A date, e.g. 2027-03-15" sqref="B33">
      <formula1>43831</formula1>
    </dataValidation>
    <dataValidation type="list" allowBlank="1" showErrorMessage="1" errorTitle="Pick from the list" error="One of: Approve, Approve with conditions, Reject" sqref="C38:C42">
      <formula1>"Approve,Approve with conditions,Reject"</formula1>
    </dataValidation>
    <dataValidation type="date" operator="greaterThan" allowBlank="1" showErrorMessage="1" error="A date, e.g. 2027-03-15" sqref="D38:D42">
      <formula1>43831</formula1>
    </dataValidation>
  </dataValidation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46" customWidth="1"/>
    <col min="4" max="4" width="26" customWidth="1"/>
    <col min="5" max="5" width="28" customWidth="1"/>
    <col min="6" max="6" width="30" customWidth="1"/>
    <col min="7" max="7" width="16" customWidth="1"/>
    <col min="8" max="8" width="12" customWidth="1"/>
    <col min="9" max="9" width="10" customWidth="1"/>
    <col min="10" max="10" width="14" customWidth="1"/>
    <col min="11" max="11" width="28" customWidth="1"/>
    <col min="12" max="12" width="18" customWidth="1"/>
    <col min="13" max="13" width="12" customWidth="1"/>
    <col min="14" max="14" width="26" customWidth="1"/>
  </cols>
  <sheetData>
    <row r="1" spans="1:14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59</v>
      </c>
    </row>
    <row r="4" spans="1:14" x14ac:dyDescent="0.25">
      <c r="A4" s="9" t="s">
        <v>60</v>
      </c>
      <c r="B4" s="6" t="s">
        <v>61</v>
      </c>
      <c r="C4" s="6" t="s">
        <v>62</v>
      </c>
      <c r="D4" s="6" t="s">
        <v>63</v>
      </c>
      <c r="E4" s="5"/>
      <c r="F4" s="5"/>
      <c r="G4" s="5"/>
      <c r="H4" s="5" t="s">
        <v>64</v>
      </c>
      <c r="I4" s="5"/>
      <c r="J4" s="5" t="s">
        <v>65</v>
      </c>
      <c r="K4" s="5"/>
      <c r="L4" s="5"/>
      <c r="M4" s="7"/>
      <c r="N4" s="12" t="str">
        <f>IF(C4="","",IF(AND(J4="Confirmed",F4=""),"Evidence missing",IF(AND(H4="Waived",I4=""),"Waiver ID missing",IF(AND(J4="Rejected",K4=""),"Comment required",IF(AND(J4="Confirmed",OR(H4="Fail",H4="Open",H4="")),"Confirmed without a passing status",IF(AND(OR(J4="Confirmed",J4="Rejected"),L4=""),"Confirmed by missing",IF(AND(J4="Confirmed",M4=""),"Date missing","")))))))</f>
        <v/>
      </c>
    </row>
    <row r="5" spans="1:14" x14ac:dyDescent="0.25">
      <c r="A5" s="9" t="s">
        <v>66</v>
      </c>
      <c r="B5" s="6" t="s">
        <v>61</v>
      </c>
      <c r="C5" s="6" t="s">
        <v>67</v>
      </c>
      <c r="D5" s="6" t="s">
        <v>63</v>
      </c>
      <c r="E5" s="5"/>
      <c r="F5" s="5"/>
      <c r="G5" s="5"/>
      <c r="H5" s="5" t="s">
        <v>64</v>
      </c>
      <c r="I5" s="5"/>
      <c r="J5" s="5" t="s">
        <v>65</v>
      </c>
      <c r="K5" s="5"/>
      <c r="L5" s="5"/>
      <c r="M5" s="7"/>
      <c r="N5" s="12" t="str">
        <f>IF(C5="","",IF(AND(J5="Confirmed",F5=""),"Evidence missing",IF(AND(H5="Waived",I5=""),"Waiver ID missing",IF(AND(J5="Rejected",K5=""),"Comment required",IF(AND(J5="Confirmed",OR(H5="Fail",H5="Open",H5="")),"Confirmed without a passing status",IF(AND(OR(J5="Confirmed",J5="Rejected"),L5=""),"Confirmed by missing",IF(AND(J5="Confirmed",M5=""),"Date missing","")))))))</f>
        <v/>
      </c>
    </row>
    <row r="6" spans="1:14" x14ac:dyDescent="0.25">
      <c r="A6" s="9" t="s">
        <v>68</v>
      </c>
      <c r="B6" s="6" t="s">
        <v>61</v>
      </c>
      <c r="C6" s="6" t="s">
        <v>69</v>
      </c>
      <c r="D6" s="6" t="s">
        <v>63</v>
      </c>
      <c r="E6" s="5"/>
      <c r="F6" s="5"/>
      <c r="G6" s="5"/>
      <c r="H6" s="5" t="s">
        <v>64</v>
      </c>
      <c r="I6" s="5"/>
      <c r="J6" s="5" t="s">
        <v>65</v>
      </c>
      <c r="K6" s="5"/>
      <c r="L6" s="5"/>
      <c r="M6" s="7"/>
      <c r="N6" s="12" t="str">
        <f>IF(C6="","",IF(AND(J6="Confirmed",F6=""),"Evidence missing",IF(AND(H6="Waived",I6=""),"Waiver ID missing",IF(AND(J6="Rejected",K6=""),"Comment required",IF(AND(J6="Confirmed",OR(H6="Fail",H6="Open",H6="")),"Confirmed without a passing status",IF(AND(OR(J6="Confirmed",J6="Rejected"),L6=""),"Confirmed by missing",IF(AND(J6="Confirmed",M6=""),"Date missing","")))))))</f>
        <v/>
      </c>
    </row>
    <row r="7" spans="1:14" x14ac:dyDescent="0.25">
      <c r="A7" s="9" t="s">
        <v>70</v>
      </c>
      <c r="B7" s="6" t="s">
        <v>61</v>
      </c>
      <c r="C7" s="6" t="s">
        <v>71</v>
      </c>
      <c r="D7" s="6" t="s">
        <v>63</v>
      </c>
      <c r="E7" s="5"/>
      <c r="F7" s="5"/>
      <c r="G7" s="5"/>
      <c r="H7" s="5" t="s">
        <v>64</v>
      </c>
      <c r="I7" s="5"/>
      <c r="J7" s="5" t="s">
        <v>65</v>
      </c>
      <c r="K7" s="5"/>
      <c r="L7" s="5"/>
      <c r="M7" s="7"/>
      <c r="N7" s="12" t="str">
        <f>IF(C7="","",IF(AND(J7="Confirmed",F7=""),"Evidence missing",IF(AND(H7="Waived",I7=""),"Waiver ID missing",IF(AND(J7="Rejected",K7=""),"Comment required",IF(AND(J7="Confirmed",OR(H7="Fail",H7="Open",H7="")),"Confirmed without a passing status",IF(AND(OR(J7="Confirmed",J7="Rejected"),L7=""),"Confirmed by missing",IF(AND(J7="Confirmed",M7=""),"Date missing","")))))))</f>
        <v/>
      </c>
    </row>
    <row r="8" spans="1:14" x14ac:dyDescent="0.25">
      <c r="A8" s="9" t="s">
        <v>72</v>
      </c>
      <c r="B8" s="6" t="s">
        <v>73</v>
      </c>
      <c r="C8" s="6" t="s">
        <v>74</v>
      </c>
      <c r="D8" s="6" t="s">
        <v>75</v>
      </c>
      <c r="E8" s="5"/>
      <c r="F8" s="5"/>
      <c r="G8" s="5"/>
      <c r="H8" s="5" t="s">
        <v>64</v>
      </c>
      <c r="I8" s="5"/>
      <c r="J8" s="5" t="s">
        <v>65</v>
      </c>
      <c r="K8" s="5"/>
      <c r="L8" s="5"/>
      <c r="M8" s="7"/>
      <c r="N8" s="12" t="str">
        <f>IF(C8="","",IF(AND(J8="Confirmed",F8=""),"Evidence missing",IF(AND(H8="Waived",I8=""),"Waiver ID missing",IF(AND(J8="Rejected",K8=""),"Comment required",IF(AND(J8="Confirmed",OR(H8="Fail",H8="Open",H8="")),"Confirmed without a passing status",IF(AND(OR(J8="Confirmed",J8="Rejected"),L8=""),"Confirmed by missing",IF(AND(J8="Confirmed",M8=""),"Date missing","")))))))</f>
        <v/>
      </c>
    </row>
    <row r="9" spans="1:14" x14ac:dyDescent="0.25">
      <c r="A9" s="9" t="s">
        <v>76</v>
      </c>
      <c r="B9" s="6" t="s">
        <v>73</v>
      </c>
      <c r="C9" s="6" t="s">
        <v>77</v>
      </c>
      <c r="D9" s="6" t="s">
        <v>75</v>
      </c>
      <c r="E9" s="5"/>
      <c r="F9" s="5"/>
      <c r="G9" s="5"/>
      <c r="H9" s="5" t="s">
        <v>64</v>
      </c>
      <c r="I9" s="5"/>
      <c r="J9" s="5" t="s">
        <v>65</v>
      </c>
      <c r="K9" s="5"/>
      <c r="L9" s="5"/>
      <c r="M9" s="7"/>
      <c r="N9" s="12" t="str">
        <f>IF(C9="","",IF(AND(J9="Confirmed",F9=""),"Evidence missing",IF(AND(H9="Waived",I9=""),"Waiver ID missing",IF(AND(J9="Rejected",K9=""),"Comment required",IF(AND(J9="Confirmed",OR(H9="Fail",H9="Open",H9="")),"Confirmed without a passing status",IF(AND(OR(J9="Confirmed",J9="Rejected"),L9=""),"Confirmed by missing",IF(AND(J9="Confirmed",M9=""),"Date missing","")))))))</f>
        <v/>
      </c>
    </row>
    <row r="10" spans="1:14" x14ac:dyDescent="0.25">
      <c r="A10" s="9" t="s">
        <v>78</v>
      </c>
      <c r="B10" s="6" t="s">
        <v>73</v>
      </c>
      <c r="C10" s="6" t="s">
        <v>79</v>
      </c>
      <c r="D10" s="6" t="s">
        <v>75</v>
      </c>
      <c r="E10" s="5"/>
      <c r="F10" s="5"/>
      <c r="G10" s="5"/>
      <c r="H10" s="5" t="s">
        <v>64</v>
      </c>
      <c r="I10" s="5"/>
      <c r="J10" s="5" t="s">
        <v>65</v>
      </c>
      <c r="K10" s="5"/>
      <c r="L10" s="5"/>
      <c r="M10" s="7"/>
      <c r="N10" s="12" t="str">
        <f>IF(C10="","",IF(AND(J10="Confirmed",F10=""),"Evidence missing",IF(AND(H10="Waived",I10=""),"Waiver ID missing",IF(AND(J10="Rejected",K10=""),"Comment required",IF(AND(J10="Confirmed",OR(H10="Fail",H10="Open",H10="")),"Confirmed without a passing status",IF(AND(OR(J10="Confirmed",J10="Rejected"),L10=""),"Confirmed by missing",IF(AND(J10="Confirmed",M10=""),"Date missing","")))))))</f>
        <v/>
      </c>
    </row>
    <row r="11" spans="1:14" x14ac:dyDescent="0.25">
      <c r="A11" s="9" t="s">
        <v>80</v>
      </c>
      <c r="B11" s="6" t="s">
        <v>81</v>
      </c>
      <c r="C11" s="6" t="s">
        <v>82</v>
      </c>
      <c r="D11" s="6" t="s">
        <v>83</v>
      </c>
      <c r="E11" s="5"/>
      <c r="F11" s="5"/>
      <c r="G11" s="5"/>
      <c r="H11" s="5" t="s">
        <v>64</v>
      </c>
      <c r="I11" s="5"/>
      <c r="J11" s="5" t="s">
        <v>65</v>
      </c>
      <c r="K11" s="5"/>
      <c r="L11" s="5"/>
      <c r="M11" s="7"/>
      <c r="N11" s="12" t="str">
        <f>IF(C11="","",IF(AND(J11="Confirmed",F11=""),"Evidence missing",IF(AND(H11="Waived",I11=""),"Waiver ID missing",IF(AND(J11="Rejected",K11=""),"Comment required",IF(AND(J11="Confirmed",OR(H11="Fail",H11="Open",H11="")),"Confirmed without a passing status",IF(AND(OR(J11="Confirmed",J11="Rejected"),L11=""),"Confirmed by missing",IF(AND(J11="Confirmed",M11=""),"Date missing","")))))))</f>
        <v/>
      </c>
    </row>
    <row r="12" spans="1:14" x14ac:dyDescent="0.25">
      <c r="A12" s="9" t="s">
        <v>84</v>
      </c>
      <c r="B12" s="6" t="s">
        <v>81</v>
      </c>
      <c r="C12" s="6" t="s">
        <v>85</v>
      </c>
      <c r="D12" s="6" t="s">
        <v>86</v>
      </c>
      <c r="E12" s="5"/>
      <c r="F12" s="5"/>
      <c r="G12" s="5"/>
      <c r="H12" s="5" t="s">
        <v>64</v>
      </c>
      <c r="I12" s="5"/>
      <c r="J12" s="5" t="s">
        <v>65</v>
      </c>
      <c r="K12" s="5"/>
      <c r="L12" s="5"/>
      <c r="M12" s="7"/>
      <c r="N12" s="12" t="str">
        <f>IF(C12="","",IF(AND(J12="Confirmed",F12=""),"Evidence missing",IF(AND(H12="Waived",I12=""),"Waiver ID missing",IF(AND(J12="Rejected",K12=""),"Comment required",IF(AND(J12="Confirmed",OR(H12="Fail",H12="Open",H12="")),"Confirmed without a passing status",IF(AND(OR(J12="Confirmed",J12="Rejected"),L12=""),"Confirmed by missing",IF(AND(J12="Confirmed",M12=""),"Date missing","")))))))</f>
        <v/>
      </c>
    </row>
    <row r="13" spans="1:14" x14ac:dyDescent="0.25">
      <c r="A13" s="9" t="s">
        <v>87</v>
      </c>
      <c r="B13" s="6" t="s">
        <v>81</v>
      </c>
      <c r="C13" s="6" t="s">
        <v>88</v>
      </c>
      <c r="D13" s="6" t="s">
        <v>89</v>
      </c>
      <c r="E13" s="5"/>
      <c r="F13" s="5"/>
      <c r="G13" s="5"/>
      <c r="H13" s="5" t="s">
        <v>64</v>
      </c>
      <c r="I13" s="5"/>
      <c r="J13" s="5" t="s">
        <v>65</v>
      </c>
      <c r="K13" s="5"/>
      <c r="L13" s="5"/>
      <c r="M13" s="7"/>
      <c r="N13" s="12" t="str">
        <f>IF(C13="","",IF(AND(J13="Confirmed",F13=""),"Evidence missing",IF(AND(H13="Waived",I13=""),"Waiver ID missing",IF(AND(J13="Rejected",K13=""),"Comment required",IF(AND(J13="Confirmed",OR(H13="Fail",H13="Open",H13="")),"Confirmed without a passing status",IF(AND(OR(J13="Confirmed",J13="Rejected"),L13=""),"Confirmed by missing",IF(AND(J13="Confirmed",M13=""),"Date missing","")))))))</f>
        <v/>
      </c>
    </row>
    <row r="14" spans="1:14" x14ac:dyDescent="0.25">
      <c r="A14" s="9" t="s">
        <v>90</v>
      </c>
      <c r="B14" s="6" t="s">
        <v>81</v>
      </c>
      <c r="C14" s="6" t="s">
        <v>91</v>
      </c>
      <c r="D14" s="6" t="s">
        <v>92</v>
      </c>
      <c r="E14" s="5"/>
      <c r="F14" s="5"/>
      <c r="G14" s="5"/>
      <c r="H14" s="5" t="s">
        <v>64</v>
      </c>
      <c r="I14" s="5"/>
      <c r="J14" s="5" t="s">
        <v>65</v>
      </c>
      <c r="K14" s="5"/>
      <c r="L14" s="5"/>
      <c r="M14" s="7"/>
      <c r="N14" s="12" t="str">
        <f>IF(C14="","",IF(AND(J14="Confirmed",F14=""),"Evidence missing",IF(AND(H14="Waived",I14=""),"Waiver ID missing",IF(AND(J14="Rejected",K14=""),"Comment required",IF(AND(J14="Confirmed",OR(H14="Fail",H14="Open",H14="")),"Confirmed without a passing status",IF(AND(OR(J14="Confirmed",J14="Rejected"),L14=""),"Confirmed by missing",IF(AND(J14="Confirmed",M14=""),"Date missing","")))))))</f>
        <v/>
      </c>
    </row>
    <row r="15" spans="1:14" x14ac:dyDescent="0.25">
      <c r="A15" s="9" t="s">
        <v>93</v>
      </c>
      <c r="B15" s="6" t="s">
        <v>81</v>
      </c>
      <c r="C15" s="6" t="s">
        <v>94</v>
      </c>
      <c r="D15" s="6" t="s">
        <v>95</v>
      </c>
      <c r="E15" s="5"/>
      <c r="F15" s="5"/>
      <c r="G15" s="5"/>
      <c r="H15" s="5" t="s">
        <v>64</v>
      </c>
      <c r="I15" s="5"/>
      <c r="J15" s="5" t="s">
        <v>65</v>
      </c>
      <c r="K15" s="5"/>
      <c r="L15" s="5"/>
      <c r="M15" s="7"/>
      <c r="N15" s="12" t="str">
        <f>IF(C15="","",IF(AND(J15="Confirmed",F15=""),"Evidence missing",IF(AND(H15="Waived",I15=""),"Waiver ID missing",IF(AND(J15="Rejected",K15=""),"Comment required",IF(AND(J15="Confirmed",OR(H15="Fail",H15="Open",H15="")),"Confirmed without a passing status",IF(AND(OR(J15="Confirmed",J15="Rejected"),L15=""),"Confirmed by missing",IF(AND(J15="Confirmed",M15=""),"Date missing","")))))))</f>
        <v/>
      </c>
    </row>
    <row r="16" spans="1:14" x14ac:dyDescent="0.25">
      <c r="A16" s="9" t="s">
        <v>96</v>
      </c>
      <c r="B16" s="6" t="s">
        <v>81</v>
      </c>
      <c r="C16" s="6" t="s">
        <v>97</v>
      </c>
      <c r="D16" s="6" t="s">
        <v>98</v>
      </c>
      <c r="E16" s="5"/>
      <c r="F16" s="5"/>
      <c r="G16" s="5"/>
      <c r="H16" s="5" t="s">
        <v>64</v>
      </c>
      <c r="I16" s="5"/>
      <c r="J16" s="5" t="s">
        <v>65</v>
      </c>
      <c r="K16" s="5"/>
      <c r="L16" s="5"/>
      <c r="M16" s="7"/>
      <c r="N16" s="12" t="str">
        <f>IF(C16="","",IF(AND(J16="Confirmed",F16=""),"Evidence missing",IF(AND(H16="Waived",I16=""),"Waiver ID missing",IF(AND(J16="Rejected",K16=""),"Comment required",IF(AND(J16="Confirmed",OR(H16="Fail",H16="Open",H16="")),"Confirmed without a passing status",IF(AND(OR(J16="Confirmed",J16="Rejected"),L16=""),"Confirmed by missing",IF(AND(J16="Confirmed",M16=""),"Date missing","")))))))</f>
        <v/>
      </c>
    </row>
    <row r="17" spans="1:14" x14ac:dyDescent="0.25">
      <c r="A17" s="9" t="s">
        <v>99</v>
      </c>
      <c r="B17" s="6" t="s">
        <v>81</v>
      </c>
      <c r="C17" s="6" t="s">
        <v>100</v>
      </c>
      <c r="D17" s="6" t="s">
        <v>101</v>
      </c>
      <c r="E17" s="5"/>
      <c r="F17" s="5"/>
      <c r="G17" s="5"/>
      <c r="H17" s="5" t="s">
        <v>64</v>
      </c>
      <c r="I17" s="5"/>
      <c r="J17" s="5" t="s">
        <v>65</v>
      </c>
      <c r="K17" s="5"/>
      <c r="L17" s="5"/>
      <c r="M17" s="7"/>
      <c r="N17" s="12" t="str">
        <f>IF(C17="","",IF(AND(J17="Confirmed",F17=""),"Evidence missing",IF(AND(H17="Waived",I17=""),"Waiver ID missing",IF(AND(J17="Rejected",K17=""),"Comment required",IF(AND(J17="Confirmed",OR(H17="Fail",H17="Open",H17="")),"Confirmed without a passing status",IF(AND(OR(J17="Confirmed",J17="Rejected"),L17=""),"Confirmed by missing",IF(AND(J17="Confirmed",M17=""),"Date missing","")))))))</f>
        <v/>
      </c>
    </row>
    <row r="18" spans="1:14" x14ac:dyDescent="0.25">
      <c r="A18" s="9" t="s">
        <v>102</v>
      </c>
      <c r="B18" s="6" t="s">
        <v>81</v>
      </c>
      <c r="C18" s="6" t="s">
        <v>103</v>
      </c>
      <c r="D18" s="6" t="s">
        <v>104</v>
      </c>
      <c r="E18" s="5"/>
      <c r="F18" s="5"/>
      <c r="G18" s="5"/>
      <c r="H18" s="5" t="s">
        <v>64</v>
      </c>
      <c r="I18" s="5"/>
      <c r="J18" s="5" t="s">
        <v>65</v>
      </c>
      <c r="K18" s="5"/>
      <c r="L18" s="5"/>
      <c r="M18" s="7"/>
      <c r="N18" s="12" t="str">
        <f>IF(C18="","",IF(AND(J18="Confirmed",F18=""),"Evidence missing",IF(AND(H18="Waived",I18=""),"Waiver ID missing",IF(AND(J18="Rejected",K18=""),"Comment required",IF(AND(J18="Confirmed",OR(H18="Fail",H18="Open",H18="")),"Confirmed without a passing status",IF(AND(OR(J18="Confirmed",J18="Rejected"),L18=""),"Confirmed by missing",IF(AND(J18="Confirmed",M18=""),"Date missing","")))))))</f>
        <v/>
      </c>
    </row>
    <row r="19" spans="1:14" x14ac:dyDescent="0.25">
      <c r="A19" s="9" t="s">
        <v>105</v>
      </c>
      <c r="B19" s="6" t="s">
        <v>106</v>
      </c>
      <c r="C19" s="6" t="s">
        <v>107</v>
      </c>
      <c r="D19" s="6" t="s">
        <v>75</v>
      </c>
      <c r="E19" s="5"/>
      <c r="F19" s="5"/>
      <c r="G19" s="5"/>
      <c r="H19" s="5" t="s">
        <v>64</v>
      </c>
      <c r="I19" s="5"/>
      <c r="J19" s="5" t="s">
        <v>65</v>
      </c>
      <c r="K19" s="5"/>
      <c r="L19" s="5"/>
      <c r="M19" s="7"/>
      <c r="N19" s="12" t="str">
        <f>IF(C19="","",IF(AND(J19="Confirmed",F19=""),"Evidence missing",IF(AND(H19="Waived",I19=""),"Waiver ID missing",IF(AND(J19="Rejected",K19=""),"Comment required",IF(AND(J19="Confirmed",OR(H19="Fail",H19="Open",H19="")),"Confirmed without a passing status",IF(AND(OR(J19="Confirmed",J19="Rejected"),L19=""),"Confirmed by missing",IF(AND(J19="Confirmed",M19=""),"Date missing","")))))))</f>
        <v/>
      </c>
    </row>
    <row r="20" spans="1:14" x14ac:dyDescent="0.25">
      <c r="A20" s="9" t="s">
        <v>108</v>
      </c>
      <c r="B20" s="6" t="s">
        <v>106</v>
      </c>
      <c r="C20" s="6" t="s">
        <v>109</v>
      </c>
      <c r="D20" s="6" t="s">
        <v>75</v>
      </c>
      <c r="E20" s="5"/>
      <c r="F20" s="5"/>
      <c r="G20" s="5"/>
      <c r="H20" s="5" t="s">
        <v>64</v>
      </c>
      <c r="I20" s="5"/>
      <c r="J20" s="5" t="s">
        <v>65</v>
      </c>
      <c r="K20" s="5"/>
      <c r="L20" s="5"/>
      <c r="M20" s="7"/>
      <c r="N20" s="12" t="str">
        <f>IF(C20="","",IF(AND(J20="Confirmed",F20=""),"Evidence missing",IF(AND(H20="Waived",I20=""),"Waiver ID missing",IF(AND(J20="Rejected",K20=""),"Comment required",IF(AND(J20="Confirmed",OR(H20="Fail",H20="Open",H20="")),"Confirmed without a passing status",IF(AND(OR(J20="Confirmed",J20="Rejected"),L20=""),"Confirmed by missing",IF(AND(J20="Confirmed",M20=""),"Date missing","")))))))</f>
        <v/>
      </c>
    </row>
    <row r="21" spans="1:14" x14ac:dyDescent="0.25">
      <c r="A21" s="9" t="s">
        <v>110</v>
      </c>
      <c r="B21" s="6" t="s">
        <v>106</v>
      </c>
      <c r="C21" s="6" t="s">
        <v>111</v>
      </c>
      <c r="D21" s="6" t="s">
        <v>75</v>
      </c>
      <c r="E21" s="5"/>
      <c r="F21" s="5"/>
      <c r="G21" s="5"/>
      <c r="H21" s="5" t="s">
        <v>64</v>
      </c>
      <c r="I21" s="5"/>
      <c r="J21" s="5" t="s">
        <v>65</v>
      </c>
      <c r="K21" s="5"/>
      <c r="L21" s="5"/>
      <c r="M21" s="7"/>
      <c r="N21" s="12" t="str">
        <f>IF(C21="","",IF(AND(J21="Confirmed",F21=""),"Evidence missing",IF(AND(H21="Waived",I21=""),"Waiver ID missing",IF(AND(J21="Rejected",K21=""),"Comment required",IF(AND(J21="Confirmed",OR(H21="Fail",H21="Open",H21="")),"Confirmed without a passing status",IF(AND(OR(J21="Confirmed",J21="Rejected"),L21=""),"Confirmed by missing",IF(AND(J21="Confirmed",M21=""),"Date missing","")))))))</f>
        <v/>
      </c>
    </row>
    <row r="22" spans="1:14" x14ac:dyDescent="0.25">
      <c r="A22" s="9" t="s">
        <v>112</v>
      </c>
      <c r="B22" s="6" t="s">
        <v>113</v>
      </c>
      <c r="C22" s="6" t="s">
        <v>114</v>
      </c>
      <c r="D22" s="6" t="s">
        <v>115</v>
      </c>
      <c r="E22" s="5"/>
      <c r="F22" s="5"/>
      <c r="G22" s="5"/>
      <c r="H22" s="5" t="s">
        <v>64</v>
      </c>
      <c r="I22" s="5"/>
      <c r="J22" s="5" t="s">
        <v>65</v>
      </c>
      <c r="K22" s="5"/>
      <c r="L22" s="5"/>
      <c r="M22" s="7"/>
      <c r="N22" s="12" t="str">
        <f>IF(C22="","",IF(AND(J22="Confirmed",F22=""),"Evidence missing",IF(AND(H22="Waived",I22=""),"Waiver ID missing",IF(AND(J22="Rejected",K22=""),"Comment required",IF(AND(J22="Confirmed",OR(H22="Fail",H22="Open",H22="")),"Confirmed without a passing status",IF(AND(OR(J22="Confirmed",J22="Rejected"),L22=""),"Confirmed by missing",IF(AND(J22="Confirmed",M22=""),"Date missing","")))))))</f>
        <v/>
      </c>
    </row>
    <row r="23" spans="1:14" x14ac:dyDescent="0.25">
      <c r="A23" s="9" t="s">
        <v>116</v>
      </c>
      <c r="B23" s="6" t="s">
        <v>113</v>
      </c>
      <c r="C23" s="6" t="s">
        <v>117</v>
      </c>
      <c r="D23" s="6" t="s">
        <v>115</v>
      </c>
      <c r="E23" s="5"/>
      <c r="F23" s="5"/>
      <c r="G23" s="5"/>
      <c r="H23" s="5" t="s">
        <v>64</v>
      </c>
      <c r="I23" s="5"/>
      <c r="J23" s="5" t="s">
        <v>65</v>
      </c>
      <c r="K23" s="5"/>
      <c r="L23" s="5"/>
      <c r="M23" s="7"/>
      <c r="N23" s="12" t="str">
        <f>IF(C23="","",IF(AND(J23="Confirmed",F23=""),"Evidence missing",IF(AND(H23="Waived",I23=""),"Waiver ID missing",IF(AND(J23="Rejected",K23=""),"Comment required",IF(AND(J23="Confirmed",OR(H23="Fail",H23="Open",H23="")),"Confirmed without a passing status",IF(AND(OR(J23="Confirmed",J23="Rejected"),L23=""),"Confirmed by missing",IF(AND(J23="Confirmed",M23=""),"Date missing","")))))))</f>
        <v/>
      </c>
    </row>
    <row r="24" spans="1:14" x14ac:dyDescent="0.25">
      <c r="A24" s="9" t="s">
        <v>118</v>
      </c>
      <c r="B24" s="6" t="s">
        <v>113</v>
      </c>
      <c r="C24" s="6" t="s">
        <v>119</v>
      </c>
      <c r="D24" s="6" t="s">
        <v>115</v>
      </c>
      <c r="E24" s="5"/>
      <c r="F24" s="5"/>
      <c r="G24" s="5"/>
      <c r="H24" s="5" t="s">
        <v>64</v>
      </c>
      <c r="I24" s="5"/>
      <c r="J24" s="5" t="s">
        <v>65</v>
      </c>
      <c r="K24" s="5"/>
      <c r="L24" s="5"/>
      <c r="M24" s="7"/>
      <c r="N24" s="12" t="str">
        <f>IF(C24="","",IF(AND(J24="Confirmed",F24=""),"Evidence missing",IF(AND(H24="Waived",I24=""),"Waiver ID missing",IF(AND(J24="Rejected",K24=""),"Comment required",IF(AND(J24="Confirmed",OR(H24="Fail",H24="Open",H24="")),"Confirmed without a passing status",IF(AND(OR(J24="Confirmed",J24="Rejected"),L24=""),"Confirmed by missing",IF(AND(J24="Confirmed",M24=""),"Date missing","")))))))</f>
        <v/>
      </c>
    </row>
    <row r="25" spans="1:14" x14ac:dyDescent="0.25">
      <c r="A25" s="9" t="s">
        <v>120</v>
      </c>
      <c r="B25" s="6" t="s">
        <v>113</v>
      </c>
      <c r="C25" s="6" t="s">
        <v>121</v>
      </c>
      <c r="D25" s="6" t="s">
        <v>115</v>
      </c>
      <c r="E25" s="5"/>
      <c r="F25" s="5"/>
      <c r="G25" s="5"/>
      <c r="H25" s="5" t="s">
        <v>64</v>
      </c>
      <c r="I25" s="5"/>
      <c r="J25" s="5" t="s">
        <v>65</v>
      </c>
      <c r="K25" s="5"/>
      <c r="L25" s="5"/>
      <c r="M25" s="7"/>
      <c r="N25" s="12" t="str">
        <f>IF(C25="","",IF(AND(J25="Confirmed",F25=""),"Evidence missing",IF(AND(H25="Waived",I25=""),"Waiver ID missing",IF(AND(J25="Rejected",K25=""),"Comment required",IF(AND(J25="Confirmed",OR(H25="Fail",H25="Open",H25="")),"Confirmed without a passing status",IF(AND(OR(J25="Confirmed",J25="Rejected"),L25=""),"Confirmed by missing",IF(AND(J25="Confirmed",M25=""),"Date missing","")))))))</f>
        <v/>
      </c>
    </row>
    <row r="26" spans="1:14" x14ac:dyDescent="0.25">
      <c r="A26" s="9" t="s">
        <v>122</v>
      </c>
      <c r="B26" s="6" t="s">
        <v>113</v>
      </c>
      <c r="C26" s="6" t="s">
        <v>123</v>
      </c>
      <c r="D26" s="6" t="s">
        <v>115</v>
      </c>
      <c r="E26" s="5"/>
      <c r="F26" s="5"/>
      <c r="G26" s="5"/>
      <c r="H26" s="5" t="s">
        <v>64</v>
      </c>
      <c r="I26" s="5"/>
      <c r="J26" s="5" t="s">
        <v>65</v>
      </c>
      <c r="K26" s="5"/>
      <c r="L26" s="5"/>
      <c r="M26" s="7"/>
      <c r="N26" s="12" t="str">
        <f>IF(C26="","",IF(AND(J26="Confirmed",F26=""),"Evidence missing",IF(AND(H26="Waived",I26=""),"Waiver ID missing",IF(AND(J26="Rejected",K26=""),"Comment required",IF(AND(J26="Confirmed",OR(H26="Fail",H26="Open",H26="")),"Confirmed without a passing status",IF(AND(OR(J26="Confirmed",J26="Rejected"),L26=""),"Confirmed by missing",IF(AND(J26="Confirmed",M26=""),"Date missing","")))))))</f>
        <v/>
      </c>
    </row>
    <row r="27" spans="1:14" x14ac:dyDescent="0.25">
      <c r="A27" s="1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12" t="str">
        <f>IF(C27="","",IF(AND(J27="Confirmed",F27=""),"Evidence missing",IF(AND(H27="Waived",I27=""),"Waiver ID missing",IF(AND(J27="Rejected",K27=""),"Comment required",IF(AND(J27="Confirmed",OR(H27="Fail",H27="Open",H27="")),"Confirmed without a passing status",IF(AND(OR(J27="Confirmed",J27="Rejected"),L27=""),"Confirmed by missing",IF(AND(J27="Confirmed",M27=""),"Date missing","")))))))</f>
        <v/>
      </c>
    </row>
    <row r="28" spans="1:14" x14ac:dyDescent="0.25">
      <c r="A28" s="10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12" t="str">
        <f>IF(C28="","",IF(AND(J28="Confirmed",F28=""),"Evidence missing",IF(AND(H28="Waived",I28=""),"Waiver ID missing",IF(AND(J28="Rejected",K28=""),"Comment required",IF(AND(J28="Confirmed",OR(H28="Fail",H28="Open",H28="")),"Confirmed without a passing status",IF(AND(OR(J28="Confirmed",J28="Rejected"),L28=""),"Confirmed by missing",IF(AND(J28="Confirmed",M28=""),"Date missing","")))))))</f>
        <v/>
      </c>
    </row>
    <row r="29" spans="1:14" x14ac:dyDescent="0.25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12" t="str">
        <f>IF(C29="","",IF(AND(J29="Confirmed",F29=""),"Evidence missing",IF(AND(H29="Waived",I29=""),"Waiver ID missing",IF(AND(J29="Rejected",K29=""),"Comment required",IF(AND(J29="Confirmed",OR(H29="Fail",H29="Open",H29="")),"Confirmed without a passing status",IF(AND(OR(J29="Confirmed",J29="Rejected"),L29=""),"Confirmed by missing",IF(AND(J29="Confirmed",M29=""),"Date missing","")))))))</f>
        <v/>
      </c>
    </row>
    <row r="30" spans="1:14" x14ac:dyDescent="0.25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12" t="str">
        <f>IF(C30="","",IF(AND(J30="Confirmed",F30=""),"Evidence missing",IF(AND(H30="Waived",I30=""),"Waiver ID missing",IF(AND(J30="Rejected",K30=""),"Comment required",IF(AND(J30="Confirmed",OR(H30="Fail",H30="Open",H30="")),"Confirmed without a passing status",IF(AND(OR(J30="Confirmed",J30="Rejected"),L30=""),"Confirmed by missing",IF(AND(J30="Confirmed",M30=""),"Date missing","")))))))</f>
        <v/>
      </c>
    </row>
    <row r="31" spans="1:14" x14ac:dyDescent="0.25">
      <c r="A31" s="10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12" t="str">
        <f>IF(C31="","",IF(AND(J31="Confirmed",F31=""),"Evidence missing",IF(AND(H31="Waived",I31=""),"Waiver ID missing",IF(AND(J31="Rejected",K31=""),"Comment required",IF(AND(J31="Confirmed",OR(H31="Fail",H31="Open",H31="")),"Confirmed without a passing status",IF(AND(OR(J31="Confirmed",J31="Rejected"),L31=""),"Confirmed by missing",IF(AND(J31="Confirmed",M31=""),"Date missing","")))))))</f>
        <v/>
      </c>
    </row>
    <row r="32" spans="1:14" x14ac:dyDescent="0.25">
      <c r="A32" s="10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12" t="str">
        <f>IF(C32="","",IF(AND(J32="Confirmed",F32=""),"Evidence missing",IF(AND(H32="Waived",I32=""),"Waiver ID missing",IF(AND(J32="Rejected",K32=""),"Comment required",IF(AND(J32="Confirmed",OR(H32="Fail",H32="Open",H32="")),"Confirmed without a passing status",IF(AND(OR(J32="Confirmed",J32="Rejected"),L32=""),"Confirmed by missing",IF(AND(J32="Confirmed",M32=""),"Date missing","")))))))</f>
        <v/>
      </c>
    </row>
    <row r="33" spans="1:14" x14ac:dyDescent="0.25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12" t="str">
        <f>IF(C33="","",IF(AND(J33="Confirmed",F33=""),"Evidence missing",IF(AND(H33="Waived",I33=""),"Waiver ID missing",IF(AND(J33="Rejected",K33=""),"Comment required",IF(AND(J33="Confirmed",OR(H33="Fail",H33="Open",H33="")),"Confirmed without a passing status",IF(AND(OR(J33="Confirmed",J33="Rejected"),L33=""),"Confirmed by missing",IF(AND(J33="Confirmed",M33=""),"Date missing","")))))))</f>
        <v/>
      </c>
    </row>
    <row r="34" spans="1:14" x14ac:dyDescent="0.25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12" t="str">
        <f>IF(C34="","",IF(AND(J34="Confirmed",F34=""),"Evidence missing",IF(AND(H34="Waived",I34=""),"Waiver ID missing",IF(AND(J34="Rejected",K34=""),"Comment required",IF(AND(J34="Confirmed",OR(H34="Fail",H34="Open",H34="")),"Confirmed without a passing status",IF(AND(OR(J34="Confirmed",J34="Rejected"),L34=""),"Confirmed by missing",IF(AND(J34="Confirmed",M34=""),"Date missing","")))))))</f>
        <v/>
      </c>
    </row>
    <row r="35" spans="1:14" x14ac:dyDescent="0.25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12" t="str">
        <f>IF(C35="","",IF(AND(J35="Confirmed",F35=""),"Evidence missing",IF(AND(H35="Waived",I35=""),"Waiver ID missing",IF(AND(J35="Rejected",K35=""),"Comment required",IF(AND(J35="Confirmed",OR(H35="Fail",H35="Open",H35="")),"Confirmed without a passing status",IF(AND(OR(J35="Confirmed",J35="Rejected"),L35=""),"Confirmed by missing",IF(AND(J35="Confirmed",M35=""),"Date missing","")))))))</f>
        <v/>
      </c>
    </row>
    <row r="36" spans="1:14" x14ac:dyDescent="0.25">
      <c r="A36" s="10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12" t="str">
        <f>IF(C36="","",IF(AND(J36="Confirmed",F36=""),"Evidence missing",IF(AND(H36="Waived",I36=""),"Waiver ID missing",IF(AND(J36="Rejected",K36=""),"Comment required",IF(AND(J36="Confirmed",OR(H36="Fail",H36="Open",H36="")),"Confirmed without a passing status",IF(AND(OR(J36="Confirmed",J36="Rejected"),L36=""),"Confirmed by missing",IF(AND(J36="Confirmed",M36=""),"Date missing","")))))))</f>
        <v/>
      </c>
    </row>
  </sheetData>
  <autoFilter ref="A3:N36"/>
  <mergeCells count="2">
    <mergeCell ref="A1:N1"/>
    <mergeCell ref="A2:N2"/>
  </mergeCells>
  <conditionalFormatting sqref="H4:H36">
    <cfRule type="cellIs" dxfId="2" priority="1" operator="equal">
      <formula>"Pass"</formula>
    </cfRule>
    <cfRule type="cellIs" dxfId="3" priority="2" operator="equal">
      <formula>"Fail"</formula>
    </cfRule>
    <cfRule type="cellIs" dxfId="4" priority="3" operator="equal">
      <formula>"Waived"</formula>
    </cfRule>
  </conditionalFormatting>
  <conditionalFormatting sqref="J4:J36">
    <cfRule type="cellIs" dxfId="5" priority="4" operator="equal">
      <formula>"Confirmed"</formula>
    </cfRule>
    <cfRule type="cellIs" dxfId="6" priority="5" operator="equal">
      <formula>"Rejected"</formula>
    </cfRule>
  </conditionalFormatting>
  <dataValidations count="6">
    <dataValidation type="list" allowBlank="1" showErrorMessage="1" errorTitle="Pick from the list" error="One of: Pass, Fail, Waived, N/A, Open" sqref="H10:H36">
      <formula1>"Pass,Fail,Waived,N/A,Open"</formula1>
    </dataValidation>
    <dataValidation type="list" allowBlank="1" showErrorMessage="1" errorTitle="Pick from the list" error="One of: Pass, Fail, Waived, N/A, Open" sqref="H4:H36">
      <formula1>"Pass,Fail,Waived,N/A,Open"</formula1>
    </dataValidation>
    <dataValidation type="list" allowBlank="1" showErrorMessage="1" errorTitle="Pick from the list" error="One of: Pending, Confirmed, Rejected" sqref="J10:J36">
      <formula1>"Pending,Confirmed,Rejected"</formula1>
    </dataValidation>
    <dataValidation type="list" allowBlank="1" showErrorMessage="1" errorTitle="Pick from the list" error="One of: Pending, Confirmed, Rejected" sqref="J4:J36">
      <formula1>"Pending,Confirmed,Rejected"</formula1>
    </dataValidation>
    <dataValidation type="date" operator="greaterThan" allowBlank="1" showErrorMessage="1" error="A date, e.g. 2027-03-15" sqref="M10:M36">
      <formula1>43831</formula1>
    </dataValidation>
    <dataValidation type="date" operator="greaterThan" allowBlank="1" showErrorMessage="1" error="A date, e.g. 2027-03-15" sqref="M4:M36">
      <formula1>43831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6" customWidth="1"/>
    <col min="3" max="3" width="13" customWidth="1"/>
    <col min="4" max="4" width="11" customWidth="1"/>
    <col min="5" max="5" width="16" customWidth="1"/>
    <col min="6" max="6" width="12" customWidth="1"/>
    <col min="7" max="7" width="10" customWidth="1"/>
    <col min="8" max="8" width="36" customWidth="1"/>
  </cols>
  <sheetData>
    <row r="1" spans="1:8" x14ac:dyDescent="0.25">
      <c r="A1" s="1" t="s">
        <v>124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125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126</v>
      </c>
      <c r="B3" s="4" t="s">
        <v>127</v>
      </c>
      <c r="C3" s="4" t="s">
        <v>128</v>
      </c>
      <c r="D3" s="4" t="s">
        <v>129</v>
      </c>
      <c r="E3" s="4" t="s">
        <v>130</v>
      </c>
      <c r="F3" s="4" t="s">
        <v>131</v>
      </c>
      <c r="G3" s="4" t="s">
        <v>132</v>
      </c>
      <c r="H3" s="4" t="s">
        <v>133</v>
      </c>
    </row>
    <row r="4" spans="1:8" x14ac:dyDescent="0.25">
      <c r="A4" s="5"/>
      <c r="B4" s="5"/>
      <c r="C4" s="5"/>
      <c r="D4" s="5"/>
      <c r="E4" s="5"/>
      <c r="F4" s="7"/>
      <c r="G4" s="5"/>
      <c r="H4" s="5"/>
    </row>
    <row r="5" spans="1:8" x14ac:dyDescent="0.25">
      <c r="A5" s="5"/>
      <c r="B5" s="5"/>
      <c r="C5" s="5"/>
      <c r="D5" s="5"/>
      <c r="E5" s="5"/>
      <c r="F5" s="7"/>
      <c r="G5" s="5"/>
      <c r="H5" s="5"/>
    </row>
    <row r="6" spans="1:8" x14ac:dyDescent="0.25">
      <c r="A6" s="5"/>
      <c r="B6" s="5"/>
      <c r="C6" s="5"/>
      <c r="D6" s="5"/>
      <c r="E6" s="5"/>
      <c r="F6" s="7"/>
      <c r="G6" s="5"/>
      <c r="H6" s="5"/>
    </row>
    <row r="7" spans="1:8" x14ac:dyDescent="0.25">
      <c r="A7" s="5"/>
      <c r="B7" s="5"/>
      <c r="C7" s="5"/>
      <c r="D7" s="5"/>
      <c r="E7" s="5"/>
      <c r="F7" s="7"/>
      <c r="G7" s="5"/>
      <c r="H7" s="5"/>
    </row>
    <row r="8" spans="1:8" x14ac:dyDescent="0.25">
      <c r="A8" s="5"/>
      <c r="B8" s="5"/>
      <c r="C8" s="5"/>
      <c r="D8" s="5"/>
      <c r="E8" s="5"/>
      <c r="F8" s="7"/>
      <c r="G8" s="5"/>
      <c r="H8" s="5"/>
    </row>
    <row r="9" spans="1:8" x14ac:dyDescent="0.25">
      <c r="A9" s="5"/>
      <c r="B9" s="5"/>
      <c r="C9" s="5"/>
      <c r="D9" s="5"/>
      <c r="E9" s="5"/>
      <c r="F9" s="7"/>
      <c r="G9" s="5"/>
      <c r="H9" s="5"/>
    </row>
    <row r="10" spans="1:8" x14ac:dyDescent="0.25">
      <c r="A10" s="5"/>
      <c r="B10" s="5"/>
      <c r="C10" s="5"/>
      <c r="D10" s="5"/>
      <c r="E10" s="5"/>
      <c r="F10" s="7"/>
      <c r="G10" s="5"/>
      <c r="H10" s="5"/>
    </row>
    <row r="11" spans="1:8" x14ac:dyDescent="0.25">
      <c r="A11" s="5"/>
      <c r="B11" s="5"/>
      <c r="C11" s="5"/>
      <c r="D11" s="5"/>
      <c r="E11" s="5"/>
      <c r="F11" s="7"/>
      <c r="G11" s="5"/>
      <c r="H11" s="5"/>
    </row>
    <row r="12" spans="1:8" x14ac:dyDescent="0.25">
      <c r="A12" s="5"/>
      <c r="B12" s="5"/>
      <c r="C12" s="5"/>
      <c r="D12" s="5"/>
      <c r="E12" s="5"/>
      <c r="F12" s="7"/>
      <c r="G12" s="5"/>
      <c r="H12" s="5"/>
    </row>
    <row r="13" spans="1:8" x14ac:dyDescent="0.25">
      <c r="A13" s="5"/>
      <c r="B13" s="5"/>
      <c r="C13" s="5"/>
      <c r="D13" s="5"/>
      <c r="E13" s="5"/>
      <c r="F13" s="7"/>
      <c r="G13" s="5"/>
      <c r="H13" s="5"/>
    </row>
    <row r="14" spans="1:8" x14ac:dyDescent="0.25">
      <c r="A14" s="5"/>
      <c r="B14" s="5"/>
      <c r="C14" s="5"/>
      <c r="D14" s="5"/>
      <c r="E14" s="5"/>
      <c r="F14" s="7"/>
      <c r="G14" s="5"/>
      <c r="H14" s="5"/>
    </row>
    <row r="15" spans="1:8" x14ac:dyDescent="0.25">
      <c r="A15" s="5"/>
      <c r="B15" s="5"/>
      <c r="C15" s="5"/>
      <c r="D15" s="5"/>
      <c r="E15" s="5"/>
      <c r="F15" s="7"/>
      <c r="G15" s="5"/>
      <c r="H15" s="5"/>
    </row>
    <row r="16" spans="1:8" x14ac:dyDescent="0.25">
      <c r="A16" s="5"/>
      <c r="B16" s="5"/>
      <c r="C16" s="5"/>
      <c r="D16" s="5"/>
      <c r="E16" s="5"/>
      <c r="F16" s="7"/>
      <c r="G16" s="5"/>
      <c r="H16" s="5"/>
    </row>
    <row r="17" spans="1:8" x14ac:dyDescent="0.25">
      <c r="A17" s="5"/>
      <c r="B17" s="5"/>
      <c r="C17" s="5"/>
      <c r="D17" s="5"/>
      <c r="E17" s="5"/>
      <c r="F17" s="7"/>
      <c r="G17" s="5"/>
      <c r="H17" s="5"/>
    </row>
    <row r="18" spans="1:8" x14ac:dyDescent="0.25">
      <c r="A18" s="5"/>
      <c r="B18" s="5"/>
      <c r="C18" s="5"/>
      <c r="D18" s="5"/>
      <c r="E18" s="5"/>
      <c r="F18" s="7"/>
      <c r="G18" s="5"/>
      <c r="H18" s="5"/>
    </row>
    <row r="19" spans="1:8" x14ac:dyDescent="0.25">
      <c r="A19" s="5"/>
      <c r="B19" s="5"/>
      <c r="C19" s="5"/>
      <c r="D19" s="5"/>
      <c r="E19" s="5"/>
      <c r="F19" s="7"/>
      <c r="G19" s="5"/>
      <c r="H19" s="5"/>
    </row>
    <row r="20" spans="1:8" x14ac:dyDescent="0.25">
      <c r="A20" s="5"/>
      <c r="B20" s="5"/>
      <c r="C20" s="5"/>
      <c r="D20" s="5"/>
      <c r="E20" s="5"/>
      <c r="F20" s="7"/>
      <c r="G20" s="5"/>
      <c r="H20" s="5"/>
    </row>
    <row r="21" spans="1:8" x14ac:dyDescent="0.25">
      <c r="A21" s="5"/>
      <c r="B21" s="5"/>
      <c r="C21" s="5"/>
      <c r="D21" s="5"/>
      <c r="E21" s="5"/>
      <c r="F21" s="7"/>
      <c r="G21" s="5"/>
      <c r="H21" s="5"/>
    </row>
    <row r="22" spans="1:8" x14ac:dyDescent="0.25">
      <c r="A22" s="5"/>
      <c r="B22" s="5"/>
      <c r="C22" s="5"/>
      <c r="D22" s="5"/>
      <c r="E22" s="5"/>
      <c r="F22" s="7"/>
      <c r="G22" s="5"/>
      <c r="H22" s="5"/>
    </row>
    <row r="23" spans="1:8" x14ac:dyDescent="0.25">
      <c r="A23" s="5"/>
      <c r="B23" s="5"/>
      <c r="C23" s="5"/>
      <c r="D23" s="5"/>
      <c r="E23" s="5"/>
      <c r="F23" s="7"/>
      <c r="G23" s="5"/>
      <c r="H23" s="5"/>
    </row>
    <row r="24" spans="1:8" x14ac:dyDescent="0.25">
      <c r="A24" s="5"/>
      <c r="B24" s="5"/>
      <c r="C24" s="5"/>
      <c r="D24" s="5"/>
      <c r="E24" s="5"/>
      <c r="F24" s="7"/>
      <c r="G24" s="5"/>
      <c r="H24" s="5"/>
    </row>
    <row r="25" spans="1:8" x14ac:dyDescent="0.25">
      <c r="A25" s="5"/>
      <c r="B25" s="5"/>
      <c r="C25" s="5"/>
      <c r="D25" s="5"/>
      <c r="E25" s="5"/>
      <c r="F25" s="7"/>
      <c r="G25" s="5"/>
      <c r="H25" s="5"/>
    </row>
    <row r="26" spans="1:8" x14ac:dyDescent="0.25">
      <c r="A26" s="5"/>
      <c r="B26" s="5"/>
      <c r="C26" s="5"/>
      <c r="D26" s="5"/>
      <c r="E26" s="5"/>
      <c r="F26" s="7"/>
      <c r="G26" s="5"/>
      <c r="H26" s="5"/>
    </row>
    <row r="27" spans="1:8" x14ac:dyDescent="0.25">
      <c r="A27" s="5"/>
      <c r="B27" s="5"/>
      <c r="C27" s="5"/>
      <c r="D27" s="5"/>
      <c r="E27" s="5"/>
      <c r="F27" s="7"/>
      <c r="G27" s="5"/>
      <c r="H27" s="5"/>
    </row>
    <row r="28" spans="1:8" x14ac:dyDescent="0.25">
      <c r="A28" s="5"/>
      <c r="B28" s="5"/>
      <c r="C28" s="5"/>
      <c r="D28" s="5"/>
      <c r="E28" s="5"/>
      <c r="F28" s="7"/>
      <c r="G28" s="5"/>
      <c r="H28" s="5"/>
    </row>
    <row r="29" spans="1:8" x14ac:dyDescent="0.25">
      <c r="A29" s="5"/>
      <c r="B29" s="5"/>
      <c r="C29" s="5"/>
      <c r="D29" s="5"/>
      <c r="E29" s="5"/>
      <c r="F29" s="7"/>
      <c r="G29" s="5"/>
      <c r="H29" s="5"/>
    </row>
    <row r="30" spans="1:8" x14ac:dyDescent="0.25">
      <c r="A30" s="5"/>
      <c r="B30" s="5"/>
      <c r="C30" s="5"/>
      <c r="D30" s="5"/>
      <c r="E30" s="5"/>
      <c r="F30" s="7"/>
      <c r="G30" s="5"/>
      <c r="H30" s="5"/>
    </row>
    <row r="31" spans="1:8" x14ac:dyDescent="0.25">
      <c r="A31" s="5"/>
      <c r="B31" s="5"/>
      <c r="C31" s="5"/>
      <c r="D31" s="5"/>
      <c r="E31" s="5"/>
      <c r="F31" s="7"/>
      <c r="G31" s="5"/>
      <c r="H31" s="5"/>
    </row>
    <row r="32" spans="1:8" x14ac:dyDescent="0.25">
      <c r="A32" s="5"/>
      <c r="B32" s="5"/>
      <c r="C32" s="5"/>
      <c r="D32" s="5"/>
      <c r="E32" s="5"/>
      <c r="F32" s="7"/>
      <c r="G32" s="5"/>
      <c r="H32" s="5"/>
    </row>
    <row r="33" spans="1:8" x14ac:dyDescent="0.25">
      <c r="A33" s="5"/>
      <c r="B33" s="5"/>
      <c r="C33" s="5"/>
      <c r="D33" s="5"/>
      <c r="E33" s="5"/>
      <c r="F33" s="7"/>
      <c r="G33" s="5"/>
      <c r="H33" s="5"/>
    </row>
    <row r="34" spans="1:8" x14ac:dyDescent="0.25">
      <c r="A34" s="5"/>
      <c r="B34" s="5"/>
      <c r="C34" s="5"/>
      <c r="D34" s="5"/>
      <c r="E34" s="5"/>
      <c r="F34" s="7"/>
      <c r="G34" s="5"/>
      <c r="H34" s="5"/>
    </row>
    <row r="35" spans="1:8" x14ac:dyDescent="0.25">
      <c r="A35" s="5"/>
      <c r="B35" s="5"/>
      <c r="C35" s="5"/>
      <c r="D35" s="5"/>
      <c r="E35" s="5"/>
      <c r="F35" s="7"/>
      <c r="G35" s="5"/>
      <c r="H35" s="5"/>
    </row>
    <row r="36" spans="1:8" x14ac:dyDescent="0.25">
      <c r="A36" s="5"/>
      <c r="B36" s="5"/>
      <c r="C36" s="5"/>
      <c r="D36" s="5"/>
      <c r="E36" s="5"/>
      <c r="F36" s="7"/>
      <c r="G36" s="5"/>
      <c r="H36" s="5"/>
    </row>
    <row r="37" spans="1:8" x14ac:dyDescent="0.25">
      <c r="A37" s="5"/>
      <c r="B37" s="5"/>
      <c r="C37" s="5"/>
      <c r="D37" s="5"/>
      <c r="E37" s="5"/>
      <c r="F37" s="7"/>
      <c r="G37" s="5"/>
      <c r="H37" s="5"/>
    </row>
    <row r="38" spans="1:8" x14ac:dyDescent="0.25">
      <c r="A38" s="5"/>
      <c r="B38" s="5"/>
      <c r="C38" s="5"/>
      <c r="D38" s="5"/>
      <c r="E38" s="5"/>
      <c r="F38" s="7"/>
      <c r="G38" s="5"/>
      <c r="H38" s="5"/>
    </row>
    <row r="39" spans="1:8" x14ac:dyDescent="0.25">
      <c r="A39" s="5"/>
      <c r="B39" s="5"/>
      <c r="C39" s="5"/>
      <c r="D39" s="5"/>
      <c r="E39" s="5"/>
      <c r="F39" s="7"/>
      <c r="G39" s="5"/>
      <c r="H39" s="5"/>
    </row>
    <row r="40" spans="1:8" x14ac:dyDescent="0.25">
      <c r="A40" s="5"/>
      <c r="B40" s="5"/>
      <c r="C40" s="5"/>
      <c r="D40" s="5"/>
      <c r="E40" s="5"/>
      <c r="F40" s="7"/>
      <c r="G40" s="5"/>
      <c r="H40" s="5"/>
    </row>
    <row r="41" spans="1:8" x14ac:dyDescent="0.25">
      <c r="A41" s="5"/>
      <c r="B41" s="5"/>
      <c r="C41" s="5"/>
      <c r="D41" s="5"/>
      <c r="E41" s="5"/>
      <c r="F41" s="7"/>
      <c r="G41" s="5"/>
      <c r="H41" s="5"/>
    </row>
    <row r="42" spans="1:8" x14ac:dyDescent="0.25">
      <c r="A42" s="5"/>
      <c r="B42" s="5"/>
      <c r="C42" s="5"/>
      <c r="D42" s="5"/>
      <c r="E42" s="5"/>
      <c r="F42" s="7"/>
      <c r="G42" s="5"/>
      <c r="H42" s="5"/>
    </row>
    <row r="43" spans="1:8" x14ac:dyDescent="0.25">
      <c r="A43" s="5"/>
      <c r="B43" s="5"/>
      <c r="C43" s="5"/>
      <c r="D43" s="5"/>
      <c r="E43" s="5"/>
      <c r="F43" s="7"/>
      <c r="G43" s="5"/>
      <c r="H43" s="5"/>
    </row>
  </sheetData>
  <mergeCells count="2">
    <mergeCell ref="A1:H1"/>
    <mergeCell ref="A2:H2"/>
  </mergeCells>
  <dataValidations count="6">
    <dataValidation type="list" allowBlank="1" showErrorMessage="1" errorTitle="Pick from the list" error="One of: Critical, High, Medium, Low" sqref="D10:D43">
      <formula1>"Critical,High,Medium,Low"</formula1>
    </dataValidation>
    <dataValidation type="list" allowBlank="1" showErrorMessage="1" errorTitle="Pick from the list" error="One of: Critical, High, Medium, Low" sqref="D4:D43">
      <formula1>"Critical,High,Medium,Low"</formula1>
    </dataValidation>
    <dataValidation type="date" operator="greaterThan" allowBlank="1" showErrorMessage="1" error="A date, e.g. 2027-03-15" sqref="F10:F43">
      <formula1>43831</formula1>
    </dataValidation>
    <dataValidation type="date" operator="greaterThan" allowBlank="1" showErrorMessage="1" error="A date, e.g. 2027-03-15" sqref="F4:F43">
      <formula1>43831</formula1>
    </dataValidation>
    <dataValidation type="list" allowBlank="1" showErrorMessage="1" errorTitle="Pick from the list" error="One of: Open, Closed" sqref="G10:G43">
      <formula1>"Open,Closed"</formula1>
    </dataValidation>
    <dataValidation type="list" allowBlank="1" showErrorMessage="1" errorTitle="Pick from the list" error="One of: Open, Closed" sqref="G4:G43">
      <formula1>"Open,Closed"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30" customWidth="1"/>
    <col min="4" max="4" width="40" customWidth="1"/>
    <col min="5" max="5" width="30" customWidth="1"/>
    <col min="6" max="6" width="26" customWidth="1"/>
    <col min="7" max="7" width="18" customWidth="1"/>
    <col min="8" max="8" width="12" customWidth="1"/>
  </cols>
  <sheetData>
    <row r="1" spans="1:8" x14ac:dyDescent="0.25">
      <c r="A1" s="1" t="s">
        <v>134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135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54</v>
      </c>
      <c r="B3" s="4" t="s">
        <v>128</v>
      </c>
      <c r="C3" s="4" t="s">
        <v>136</v>
      </c>
      <c r="D3" s="4" t="s">
        <v>137</v>
      </c>
      <c r="E3" s="4" t="s">
        <v>138</v>
      </c>
      <c r="F3" s="4" t="s">
        <v>139</v>
      </c>
      <c r="G3" s="4" t="s">
        <v>140</v>
      </c>
      <c r="H3" s="4" t="s">
        <v>141</v>
      </c>
    </row>
    <row r="4" spans="1:8" x14ac:dyDescent="0.25">
      <c r="A4" s="5"/>
      <c r="B4" s="5"/>
      <c r="C4" s="5"/>
      <c r="D4" s="5"/>
      <c r="E4" s="5"/>
      <c r="F4" s="5"/>
      <c r="G4" s="5"/>
      <c r="H4" s="7"/>
    </row>
    <row r="5" spans="1:8" x14ac:dyDescent="0.25">
      <c r="A5" s="5"/>
      <c r="B5" s="5"/>
      <c r="C5" s="5"/>
      <c r="D5" s="5"/>
      <c r="E5" s="5"/>
      <c r="F5" s="5"/>
      <c r="G5" s="5"/>
      <c r="H5" s="7"/>
    </row>
    <row r="6" spans="1:8" x14ac:dyDescent="0.25">
      <c r="A6" s="5"/>
      <c r="B6" s="5"/>
      <c r="C6" s="5"/>
      <c r="D6" s="5"/>
      <c r="E6" s="5"/>
      <c r="F6" s="5"/>
      <c r="G6" s="5"/>
      <c r="H6" s="7"/>
    </row>
    <row r="7" spans="1:8" x14ac:dyDescent="0.25">
      <c r="A7" s="5"/>
      <c r="B7" s="5"/>
      <c r="C7" s="5"/>
      <c r="D7" s="5"/>
      <c r="E7" s="5"/>
      <c r="F7" s="5"/>
      <c r="G7" s="5"/>
      <c r="H7" s="7"/>
    </row>
    <row r="8" spans="1:8" x14ac:dyDescent="0.25">
      <c r="A8" s="5"/>
      <c r="B8" s="5"/>
      <c r="C8" s="5"/>
      <c r="D8" s="5"/>
      <c r="E8" s="5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  <row r="11" spans="1:8" x14ac:dyDescent="0.25">
      <c r="A11" s="5"/>
      <c r="B11" s="5"/>
      <c r="C11" s="5"/>
      <c r="D11" s="5"/>
      <c r="E11" s="5"/>
      <c r="F11" s="5"/>
      <c r="G11" s="5"/>
      <c r="H11" s="7"/>
    </row>
    <row r="12" spans="1:8" x14ac:dyDescent="0.25">
      <c r="A12" s="5"/>
      <c r="B12" s="5"/>
      <c r="C12" s="5"/>
      <c r="D12" s="5"/>
      <c r="E12" s="5"/>
      <c r="F12" s="5"/>
      <c r="G12" s="5"/>
      <c r="H12" s="7"/>
    </row>
    <row r="13" spans="1:8" x14ac:dyDescent="0.25">
      <c r="A13" s="5"/>
      <c r="B13" s="5"/>
      <c r="C13" s="5"/>
      <c r="D13" s="5"/>
      <c r="E13" s="5"/>
      <c r="F13" s="5"/>
      <c r="G13" s="5"/>
      <c r="H13" s="7"/>
    </row>
    <row r="14" spans="1:8" x14ac:dyDescent="0.25">
      <c r="A14" s="5"/>
      <c r="B14" s="5"/>
      <c r="C14" s="5"/>
      <c r="D14" s="5"/>
      <c r="E14" s="5"/>
      <c r="F14" s="5"/>
      <c r="G14" s="5"/>
      <c r="H14" s="7"/>
    </row>
    <row r="15" spans="1:8" x14ac:dyDescent="0.25">
      <c r="A15" s="5"/>
      <c r="B15" s="5"/>
      <c r="C15" s="5"/>
      <c r="D15" s="5"/>
      <c r="E15" s="5"/>
      <c r="F15" s="5"/>
      <c r="G15" s="5"/>
      <c r="H15" s="7"/>
    </row>
    <row r="16" spans="1:8" x14ac:dyDescent="0.25">
      <c r="A16" s="5"/>
      <c r="B16" s="5"/>
      <c r="C16" s="5"/>
      <c r="D16" s="5"/>
      <c r="E16" s="5"/>
      <c r="F16" s="5"/>
      <c r="G16" s="5"/>
      <c r="H16" s="7"/>
    </row>
    <row r="17" spans="1:8" x14ac:dyDescent="0.25">
      <c r="A17" s="5"/>
      <c r="B17" s="5"/>
      <c r="C17" s="5"/>
      <c r="D17" s="5"/>
      <c r="E17" s="5"/>
      <c r="F17" s="5"/>
      <c r="G17" s="5"/>
      <c r="H17" s="7"/>
    </row>
    <row r="18" spans="1:8" x14ac:dyDescent="0.25">
      <c r="A18" s="5"/>
      <c r="B18" s="5"/>
      <c r="C18" s="5"/>
      <c r="D18" s="5"/>
      <c r="E18" s="5"/>
      <c r="F18" s="5"/>
      <c r="G18" s="5"/>
      <c r="H18" s="7"/>
    </row>
    <row r="19" spans="1:8" x14ac:dyDescent="0.25">
      <c r="A19" s="5"/>
      <c r="B19" s="5"/>
      <c r="C19" s="5"/>
      <c r="D19" s="5"/>
      <c r="E19" s="5"/>
      <c r="F19" s="5"/>
      <c r="G19" s="5"/>
      <c r="H19" s="7"/>
    </row>
    <row r="20" spans="1:8" x14ac:dyDescent="0.25">
      <c r="A20" s="5"/>
      <c r="B20" s="5"/>
      <c r="C20" s="5"/>
      <c r="D20" s="5"/>
      <c r="E20" s="5"/>
      <c r="F20" s="5"/>
      <c r="G20" s="5"/>
      <c r="H20" s="7"/>
    </row>
    <row r="21" spans="1:8" x14ac:dyDescent="0.25">
      <c r="A21" s="5"/>
      <c r="B21" s="5"/>
      <c r="C21" s="5"/>
      <c r="D21" s="5"/>
      <c r="E21" s="5"/>
      <c r="F21" s="5"/>
      <c r="G21" s="5"/>
      <c r="H21" s="7"/>
    </row>
    <row r="22" spans="1:8" x14ac:dyDescent="0.25">
      <c r="A22" s="5"/>
      <c r="B22" s="5"/>
      <c r="C22" s="5"/>
      <c r="D22" s="5"/>
      <c r="E22" s="5"/>
      <c r="F22" s="5"/>
      <c r="G22" s="5"/>
      <c r="H22" s="7"/>
    </row>
    <row r="23" spans="1:8" x14ac:dyDescent="0.25">
      <c r="A23" s="5"/>
      <c r="B23" s="5"/>
      <c r="C23" s="5"/>
      <c r="D23" s="5"/>
      <c r="E23" s="5"/>
      <c r="F23" s="5"/>
      <c r="G23" s="5"/>
      <c r="H23" s="7"/>
    </row>
    <row r="24" spans="1:8" x14ac:dyDescent="0.25">
      <c r="A24" s="5"/>
      <c r="B24" s="5"/>
      <c r="C24" s="5"/>
      <c r="D24" s="5"/>
      <c r="E24" s="5"/>
      <c r="F24" s="5"/>
      <c r="G24" s="5"/>
      <c r="H24" s="7"/>
    </row>
    <row r="25" spans="1:8" x14ac:dyDescent="0.25">
      <c r="A25" s="5"/>
      <c r="B25" s="5"/>
      <c r="C25" s="5"/>
      <c r="D25" s="5"/>
      <c r="E25" s="5"/>
      <c r="F25" s="5"/>
      <c r="G25" s="5"/>
      <c r="H25" s="7"/>
    </row>
    <row r="26" spans="1:8" x14ac:dyDescent="0.25">
      <c r="A26" s="5"/>
      <c r="B26" s="5"/>
      <c r="C26" s="5"/>
      <c r="D26" s="5"/>
      <c r="E26" s="5"/>
      <c r="F26" s="5"/>
      <c r="G26" s="5"/>
      <c r="H26" s="7"/>
    </row>
    <row r="27" spans="1:8" x14ac:dyDescent="0.25">
      <c r="A27" s="5"/>
      <c r="B27" s="5"/>
      <c r="C27" s="5"/>
      <c r="D27" s="5"/>
      <c r="E27" s="5"/>
      <c r="F27" s="5"/>
      <c r="G27" s="5"/>
      <c r="H27" s="7"/>
    </row>
    <row r="28" spans="1:8" x14ac:dyDescent="0.25">
      <c r="A28" s="5"/>
      <c r="B28" s="5"/>
      <c r="C28" s="5"/>
      <c r="D28" s="5"/>
      <c r="E28" s="5"/>
      <c r="F28" s="5"/>
      <c r="G28" s="5"/>
      <c r="H28" s="7"/>
    </row>
    <row r="29" spans="1:8" x14ac:dyDescent="0.25">
      <c r="A29" s="5"/>
      <c r="B29" s="5"/>
      <c r="C29" s="5"/>
      <c r="D29" s="5"/>
      <c r="E29" s="5"/>
      <c r="F29" s="5"/>
      <c r="G29" s="5"/>
      <c r="H29" s="7"/>
    </row>
    <row r="30" spans="1:8" x14ac:dyDescent="0.25">
      <c r="A30" s="5"/>
      <c r="B30" s="5"/>
      <c r="C30" s="5"/>
      <c r="D30" s="5"/>
      <c r="E30" s="5"/>
      <c r="F30" s="5"/>
      <c r="G30" s="5"/>
      <c r="H30" s="7"/>
    </row>
    <row r="31" spans="1:8" x14ac:dyDescent="0.25">
      <c r="A31" s="5"/>
      <c r="B31" s="5"/>
      <c r="C31" s="5"/>
      <c r="D31" s="5"/>
      <c r="E31" s="5"/>
      <c r="F31" s="5"/>
      <c r="G31" s="5"/>
      <c r="H31" s="7"/>
    </row>
    <row r="32" spans="1:8" x14ac:dyDescent="0.25">
      <c r="A32" s="5"/>
      <c r="B32" s="5"/>
      <c r="C32" s="5"/>
      <c r="D32" s="5"/>
      <c r="E32" s="5"/>
      <c r="F32" s="5"/>
      <c r="G32" s="5"/>
      <c r="H32" s="7"/>
    </row>
    <row r="33" spans="1:8" x14ac:dyDescent="0.25">
      <c r="A33" s="5"/>
      <c r="B33" s="5"/>
      <c r="C33" s="5"/>
      <c r="D33" s="5"/>
      <c r="E33" s="5"/>
      <c r="F33" s="5"/>
      <c r="G33" s="5"/>
      <c r="H33" s="7"/>
    </row>
  </sheetData>
  <mergeCells count="2">
    <mergeCell ref="A1:H1"/>
    <mergeCell ref="A2:H2"/>
  </mergeCells>
  <dataValidations count="2">
    <dataValidation type="date" operator="greaterThan" allowBlank="1" showErrorMessage="1" error="A date, e.g. 2027-03-15" sqref="H10:H33">
      <formula1>43831</formula1>
    </dataValidation>
    <dataValidation type="date" operator="greaterThan" allowBlank="1" showErrorMessage="1" error="A date, e.g. 2027-03-15" sqref="H4:H33">
      <formula1>43831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6" customWidth="1"/>
  </cols>
  <sheetData>
    <row r="1" spans="1:3" x14ac:dyDescent="0.25">
      <c r="A1" s="1" t="s">
        <v>142</v>
      </c>
      <c r="B1" s="1"/>
      <c r="C1" s="1"/>
    </row>
    <row r="2" ht="28" customHeight="1" spans="1:3" x14ac:dyDescent="0.25">
      <c r="A2" s="2" t="s">
        <v>143</v>
      </c>
      <c r="B2" s="2"/>
      <c r="C2" s="2"/>
    </row>
    <row r="3" ht="30" customHeight="1" spans="1:3" x14ac:dyDescent="0.25">
      <c r="A3" s="4" t="s">
        <v>144</v>
      </c>
      <c r="B3" s="4" t="s">
        <v>145</v>
      </c>
      <c r="C3" s="4" t="s">
        <v>130</v>
      </c>
    </row>
    <row r="4" spans="1:3" x14ac:dyDescent="0.25">
      <c r="A4" s="5"/>
      <c r="B4" s="5"/>
      <c r="C4" s="5"/>
    </row>
    <row r="5" spans="1:3" x14ac:dyDescent="0.25">
      <c r="A5" s="5"/>
      <c r="B5" s="5"/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</sheetData>
  <mergeCells count="2">
    <mergeCell ref="A1:C1"/>
    <mergeCell ref="A2:C2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46" customWidth="1"/>
    <col min="3" max="3" width="20" customWidth="1"/>
    <col min="4" max="4" width="12" customWidth="1"/>
  </cols>
  <sheetData>
    <row r="1" spans="1:4" x14ac:dyDescent="0.25">
      <c r="A1" s="1" t="s">
        <v>146</v>
      </c>
      <c r="B1" s="1"/>
      <c r="C1" s="1"/>
      <c r="D1" s="1"/>
    </row>
    <row r="2" ht="28" customHeight="1" spans="1:4" x14ac:dyDescent="0.25">
      <c r="A2" s="2" t="s">
        <v>147</v>
      </c>
      <c r="B2" s="2"/>
      <c r="C2" s="2"/>
      <c r="D2" s="2"/>
    </row>
    <row r="3" ht="30" customHeight="1" spans="1:4" x14ac:dyDescent="0.25">
      <c r="A3" s="4" t="s">
        <v>148</v>
      </c>
      <c r="B3" s="4" t="s">
        <v>149</v>
      </c>
      <c r="C3" s="4" t="s">
        <v>150</v>
      </c>
      <c r="D3" s="4" t="s">
        <v>151</v>
      </c>
    </row>
    <row r="4" spans="1:4" x14ac:dyDescent="0.25">
      <c r="A4" s="6" t="s">
        <v>152</v>
      </c>
      <c r="B4" s="5"/>
      <c r="C4" s="5"/>
      <c r="D4" s="7"/>
    </row>
    <row r="5" spans="1:4" x14ac:dyDescent="0.25">
      <c r="A5" s="6" t="s">
        <v>153</v>
      </c>
      <c r="B5" s="5"/>
      <c r="C5" s="5"/>
      <c r="D5" s="7"/>
    </row>
    <row r="6" spans="1:4" x14ac:dyDescent="0.25">
      <c r="A6" s="6" t="s">
        <v>154</v>
      </c>
      <c r="B6" s="5"/>
      <c r="C6" s="5"/>
      <c r="D6" s="7"/>
    </row>
    <row r="7" spans="1:4" x14ac:dyDescent="0.25">
      <c r="A7" s="6" t="s">
        <v>155</v>
      </c>
      <c r="B7" s="5"/>
      <c r="C7" s="5"/>
      <c r="D7" s="7"/>
    </row>
  </sheetData>
  <mergeCells count="2">
    <mergeCell ref="A1:D1"/>
    <mergeCell ref="A2:D2"/>
  </mergeCells>
  <dataValidations count="1">
    <dataValidation type="date" operator="greaterThan" allowBlank="1" showErrorMessage="1" error="A date, e.g. 2027-03-15" sqref="D4:D7">
      <formula1>43831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1" t="s">
        <v>156</v>
      </c>
      <c r="B1" s="1"/>
    </row>
    <row r="2" ht="28" customHeight="1" spans="1:2" x14ac:dyDescent="0.25">
      <c r="A2" s="2" t="s">
        <v>157</v>
      </c>
      <c r="B2" s="2"/>
    </row>
    <row r="4" spans="1:2" x14ac:dyDescent="0.25">
      <c r="A4" s="4" t="s">
        <v>158</v>
      </c>
      <c r="B4" s="13" t="s">
        <v>159</v>
      </c>
    </row>
    <row r="5" spans="1:2" x14ac:dyDescent="0.25">
      <c r="A5" s="4" t="s">
        <v>160</v>
      </c>
      <c r="B5" s="13" t="s">
        <v>161</v>
      </c>
    </row>
    <row r="6" spans="1:2" x14ac:dyDescent="0.25">
      <c r="A6" s="4" t="s">
        <v>162</v>
      </c>
      <c r="B6" s="13" t="s">
        <v>163</v>
      </c>
    </row>
    <row r="7" spans="1:2" x14ac:dyDescent="0.25">
      <c r="A7" s="4" t="s">
        <v>164</v>
      </c>
      <c r="B7" s="13" t="s">
        <v>165</v>
      </c>
    </row>
    <row r="8" spans="1:2" x14ac:dyDescent="0.25">
      <c r="A8" s="4" t="s">
        <v>166</v>
      </c>
      <c r="B8" s="13" t="s">
        <v>167</v>
      </c>
    </row>
    <row r="9" spans="1:2" x14ac:dyDescent="0.25">
      <c r="A9" s="4" t="s">
        <v>168</v>
      </c>
      <c r="B9" s="13" t="s">
        <v>169</v>
      </c>
    </row>
    <row r="11" spans="1:2" x14ac:dyDescent="0.25">
      <c r="A11" s="14" t="s">
        <v>170</v>
      </c>
      <c r="B11" s="13" t="s">
        <v>171</v>
      </c>
    </row>
    <row r="12" spans="1:2" x14ac:dyDescent="0.25">
      <c r="A12" s="15" t="s">
        <v>172</v>
      </c>
      <c r="B12" s="13" t="s">
        <v>173</v>
      </c>
    </row>
    <row r="13" spans="1:2" x14ac:dyDescent="0.25">
      <c r="A13" s="4" t="s">
        <v>53</v>
      </c>
      <c r="B13" s="13" t="s">
        <v>174</v>
      </c>
    </row>
    <row r="14" spans="1:2" x14ac:dyDescent="0.25">
      <c r="A14" s="4" t="s">
        <v>175</v>
      </c>
      <c r="B14" s="13" t="s">
        <v>176</v>
      </c>
    </row>
    <row r="16" spans="1:1" x14ac:dyDescent="0.25">
      <c r="A16" s="16" t="s">
        <v>177</v>
      </c>
    </row>
    <row r="17" spans="1:2" x14ac:dyDescent="0.25">
      <c r="A17" s="4" t="s">
        <v>48</v>
      </c>
      <c r="B17" s="13" t="s">
        <v>178</v>
      </c>
    </row>
    <row r="18" spans="1:2" x14ac:dyDescent="0.25">
      <c r="A18" s="4" t="s">
        <v>179</v>
      </c>
      <c r="B18" s="13" t="s">
        <v>180</v>
      </c>
    </row>
    <row r="19" spans="1:2" x14ac:dyDescent="0.25">
      <c r="A19" s="4" t="s">
        <v>181</v>
      </c>
      <c r="B19" s="13" t="s">
        <v>182</v>
      </c>
    </row>
    <row r="20" spans="1:2" x14ac:dyDescent="0.25">
      <c r="A20" s="4" t="s">
        <v>183</v>
      </c>
      <c r="B20" s="13" t="s">
        <v>184</v>
      </c>
    </row>
    <row r="21" spans="1:2" x14ac:dyDescent="0.25">
      <c r="A21" s="4" t="s">
        <v>52</v>
      </c>
      <c r="B21" s="13" t="s">
        <v>185</v>
      </c>
    </row>
    <row r="22" spans="1:2" x14ac:dyDescent="0.25">
      <c r="A22" s="4" t="s">
        <v>53</v>
      </c>
      <c r="B22" s="13" t="s">
        <v>186</v>
      </c>
    </row>
    <row r="23" spans="1:2" x14ac:dyDescent="0.25">
      <c r="A23" s="4" t="s">
        <v>32</v>
      </c>
      <c r="B23" s="13" t="s">
        <v>187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Sign-off</vt:lpstr>
      <vt:lpstr>Checklist</vt:lpstr>
      <vt:lpstr>Open issues</vt:lpstr>
      <vt:lpstr>Waivers</vt:lpstr>
      <vt:lpstr>Conditions for reopening</vt:lpstr>
      <vt:lpstr>Handover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AtlasPM</dc:creator>
  <dc:title>PMU-D7 — PMU and always-on signoff</dc:title>
  <dc:subject/>
  <dc:description/>
  <cp:keywords/>
  <cp:category/>
  <cp:lastModifiedBy>Unknown</cp:lastModifiedBy>
  <dcterms:created xsi:type="dcterms:W3CDTF">2026-09-27T13:48:40Z</dcterms:created>
  <dcterms:modified xsi:type="dcterms:W3CDTF">2026-09-27T13:48:40Z</dcterms:modified>
</cp:coreProperties>
</file>