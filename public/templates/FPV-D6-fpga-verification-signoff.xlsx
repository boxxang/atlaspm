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ign-off" state="visible" r:id="rId4"/>
    <sheet sheetId="2" name="Checklist" state="visible" r:id="rId5"/>
    <sheet sheetId="3" name="Open issues" state="visible" r:id="rId6"/>
    <sheet sheetId="4" name="Waivers" state="visible" r:id="rId7"/>
    <sheet sheetId="5" name="What the prototype could not sh" state="visible" r:id="rId8"/>
    <sheet sheetId="6" name="Handover" state="visible" r:id="rId9"/>
    <sheet sheetId="7" name="Guide" state="visible" r:id="rId10"/>
  </sheets>
  <calcPr calcId="171027" fullCalcOnLoad="1"/>
</workbook>
</file>

<file path=xl/sharedStrings.xml><?xml version="1.0" encoding="utf-8"?>
<sst xmlns="http://schemas.openxmlformats.org/spreadsheetml/2006/main" count="277" uniqueCount="183">
  <si>
    <t>FPV-D6 — FPGA verification signoff report</t>
  </si>
  <si>
    <t>Sign-off for FPV-D6, produced by FPV-06 FPGA Verification Signoff. Work through the Checklist first; this sheet counts it. See Guide for how to use the workbook.</t>
  </si>
  <si>
    <t>Document control</t>
  </si>
  <si>
    <t>Programme</t>
  </si>
  <si>
    <t/>
  </si>
  <si>
    <t>Deliverable</t>
  </si>
  <si>
    <t>Stage</t>
  </si>
  <si>
    <t>FPGA Prototype Verification</t>
  </si>
  <si>
    <t>Producing activity</t>
  </si>
  <si>
    <t>FPV-06 — FPGA Verification Signoff</t>
  </si>
  <si>
    <t>Activity owner</t>
  </si>
  <si>
    <t>FPGA verification lead</t>
  </si>
  <si>
    <t>Version</t>
  </si>
  <si>
    <t>Date issued for review</t>
  </si>
  <si>
    <t>Readiness — counted from the Checklist</t>
  </si>
  <si>
    <t>Items to confirm</t>
  </si>
  <si>
    <t>Owner status — Pass</t>
  </si>
  <si>
    <t>Owner status — Waived</t>
  </si>
  <si>
    <t>Owner status — N/A</t>
  </si>
  <si>
    <t>Owner status — Fail</t>
  </si>
  <si>
    <t>Owner status — Open or blank</t>
  </si>
  <si>
    <t>Stage lead — Confirmed</t>
  </si>
  <si>
    <t>Stage lead — Rejected</t>
  </si>
  <si>
    <t>Stage lead — Pending or blank</t>
  </si>
  <si>
    <t>Confirmed so far</t>
  </si>
  <si>
    <t>Rows flagged on the Checklist</t>
  </si>
  <si>
    <t>Critical or High issues still Open</t>
  </si>
  <si>
    <t>Waivers without an approver</t>
  </si>
  <si>
    <t>Suggested outcome</t>
  </si>
  <si>
    <t>Final decision — stage lead</t>
  </si>
  <si>
    <t>Decision</t>
  </si>
  <si>
    <t>Conditions (if any)</t>
  </si>
  <si>
    <t>Stage lead</t>
  </si>
  <si>
    <t>Decided on</t>
  </si>
  <si>
    <t>Consistency check</t>
  </si>
  <si>
    <t>Sign-off by role</t>
  </si>
  <si>
    <t>Role</t>
  </si>
  <si>
    <t>Name</t>
  </si>
  <si>
    <t>Date</t>
  </si>
  <si>
    <t>Comment</t>
  </si>
  <si>
    <t>Verification lead</t>
  </si>
  <si>
    <t>Firmware lead</t>
  </si>
  <si>
    <t>Chief architect</t>
  </si>
  <si>
    <t>Program manager</t>
  </si>
  <si>
    <t>FPV-D6 checklist — confirm every item on its evidence</t>
  </si>
  <si>
    <t>Owners fill Result, Evidence, Evidence owner and Owner status. The stage lead then confirms or rejects each item. Yellow cells are for input; grey cells come from the template. The Flag column names any row that cannot yet be confirmed as filled in.</t>
  </si>
  <si>
    <t>ID</t>
  </si>
  <si>
    <t>Section</t>
  </si>
  <si>
    <t>Item</t>
  </si>
  <si>
    <t>Target / acceptance</t>
  </si>
  <si>
    <t>Result or measured value</t>
  </si>
  <si>
    <t>Evidence — link or file name</t>
  </si>
  <si>
    <t>Evidence owner</t>
  </si>
  <si>
    <t>Owner status</t>
  </si>
  <si>
    <t>Waiver ID</t>
  </si>
  <si>
    <t>Stage lead confirmation</t>
  </si>
  <si>
    <t>Stage lead comment</t>
  </si>
  <si>
    <t>Confirmed on</t>
  </si>
  <si>
    <t>Flag</t>
  </si>
  <si>
    <t>B-01</t>
  </si>
  <si>
    <t>Baseline</t>
  </si>
  <si>
    <t>Final RTL tag including every ECO</t>
  </si>
  <si>
    <t>Version, tag or ID recorded</t>
  </si>
  <si>
    <t>Open</t>
  </si>
  <si>
    <t>Pending</t>
  </si>
  <si>
    <t>B-02</t>
  </si>
  <si>
    <t>FPGA image ID built from that tag</t>
  </si>
  <si>
    <t>B-03</t>
  </si>
  <si>
    <t>Test list version (FPV-D1)</t>
  </si>
  <si>
    <t>B-04</t>
  </si>
  <si>
    <t>Compiler and SDK versions used</t>
  </si>
  <si>
    <t>E-01</t>
  </si>
  <si>
    <t>Entry criteria</t>
  </si>
  <si>
    <t>Final RTL with all ECOs tagged in ERTL-02</t>
  </si>
  <si>
    <t>Met</t>
  </si>
  <si>
    <t>E-02</t>
  </si>
  <si>
    <t>Every test on the list run in FPV-04</t>
  </si>
  <si>
    <t>E-03</t>
  </si>
  <si>
    <t>Open-issue list current in FPV-05</t>
  </si>
  <si>
    <t>C-01</t>
  </si>
  <si>
    <t>Checks</t>
  </si>
  <si>
    <t>Full regression on the tapeout RTL</t>
  </si>
  <si>
    <t>All tests run</t>
  </si>
  <si>
    <t>C-02</t>
  </si>
  <si>
    <t>Test list pass rate</t>
  </si>
  <si>
    <t>At or above the exit criterion</t>
  </si>
  <si>
    <t>C-03</t>
  </si>
  <si>
    <t>Peripheral interoperability with real devices and shields</t>
  </si>
  <si>
    <t>Pass</t>
  </si>
  <si>
    <t>C-04</t>
  </si>
  <si>
    <t>Boot paths — eMRAM, UART, SPI flash, JTAG, secure boot</t>
  </si>
  <si>
    <t>C-05</t>
  </si>
  <si>
    <t>Compiled workloads against the simulator</t>
  </si>
  <si>
    <t>Results match</t>
  </si>
  <si>
    <t>C-06</t>
  </si>
  <si>
    <t>Soak and stability run</t>
  </si>
  <si>
    <t>Hours met without failure</t>
  </si>
  <si>
    <t>C-07</t>
  </si>
  <si>
    <t>SDK driver and RTOS regression</t>
  </si>
  <si>
    <t>C-08</t>
  </si>
  <si>
    <t>Open FPGA bugs</t>
  </si>
  <si>
    <t>Each fixed, or waived with a workaround and owner</t>
  </si>
  <si>
    <t>X-01</t>
  </si>
  <si>
    <t>Exit criteria</t>
  </si>
  <si>
    <t>Full regression passed on the tapeout RTL</t>
  </si>
  <si>
    <t>X-02</t>
  </si>
  <si>
    <t>Every exit criterion met or waived with a workaround and owner</t>
  </si>
  <si>
    <t>X-03</t>
  </si>
  <si>
    <t>Signoff report entered in the tapeout checklist before the Go / No-Go</t>
  </si>
  <si>
    <t>F-01</t>
  </si>
  <si>
    <t>Failure modes</t>
  </si>
  <si>
    <t>Regression run on an RTL that is not the tapeout RTL. A late ECO lands after the run, and the signoff certifies a design that is not the one going to mask.</t>
  </si>
  <si>
    <t>Addressed — say how in the result</t>
  </si>
  <si>
    <t>F-02</t>
  </si>
  <si>
    <t>Exit criteria renegotiated at the end. Criteria lowered to meet the date make the signoff decorative and move the risk to first silicon.</t>
  </si>
  <si>
    <t>F-03</t>
  </si>
  <si>
    <t>Open issues waived without a workaround. A waiver needs a silicon, SDK or errata plan with an owner, or it is a bug accepted blind.</t>
  </si>
  <si>
    <t>F-04</t>
  </si>
  <si>
    <t>Blind spots not restated. The report must repeat what the FPGA could not show, so the tapeout review does not read FPGA signoff as proof of power gating or analog behaviour.</t>
  </si>
  <si>
    <t>F-05</t>
  </si>
  <si>
    <t>Signoff too close to the Go / No-Go. Two weeks leave no time to fix anything the final regression finds, so the final run starts as soon as the last ECO lands.</t>
  </si>
  <si>
    <t>Open issues</t>
  </si>
  <si>
    <t>Anything that stops an item being confirmed. Link it to the checklist item it blocks. A Critical or High issue left Open blocks the sign-off.</t>
  </si>
  <si>
    <t>Issue ID</t>
  </si>
  <si>
    <t>Description</t>
  </si>
  <si>
    <t>Linked item ID</t>
  </si>
  <si>
    <t>Severity</t>
  </si>
  <si>
    <t>Owner</t>
  </si>
  <si>
    <t>Due</t>
  </si>
  <si>
    <t>Status</t>
  </si>
  <si>
    <t>Disposition</t>
  </si>
  <si>
    <t>Waivers</t>
  </si>
  <si>
    <t>Every item whose Owner status is Waived needs a row here, and every waiver needs an approver. A waiver without one blocks the sign-off.</t>
  </si>
  <si>
    <t>Check or rule waived</t>
  </si>
  <si>
    <t>Justification</t>
  </si>
  <si>
    <t>Risk accepted</t>
  </si>
  <si>
    <t>Condition or expiry</t>
  </si>
  <si>
    <t>Approved by</t>
  </si>
  <si>
    <t>Approved on</t>
  </si>
  <si>
    <t>What the prototype could not show</t>
  </si>
  <si>
    <t>Restate the blind spots from FPV-D2 and who covers each — power gating, analog behaviour, silicon timing.</t>
  </si>
  <si>
    <t>Blind spot</t>
  </si>
  <si>
    <t>Covered by</t>
  </si>
  <si>
    <t>Handover</t>
  </si>
  <si>
    <t>Who receives FPV-D6, and what they take from it. The receiving owner records receipt.</t>
  </si>
  <si>
    <t>Receiving activity</t>
  </si>
  <si>
    <t>What it takes from this deliverable</t>
  </si>
  <si>
    <t>Received by</t>
  </si>
  <si>
    <t>Received on</t>
  </si>
  <si>
    <t>ETO-03 — Tapeout Checklist Completion and Owner Signoff</t>
  </si>
  <si>
    <t>ETO-04 — Open-Issue Risk Assessment and Waiver Acceptance</t>
  </si>
  <si>
    <t>ETO-05 — Go / No-Go Decision Meeting</t>
  </si>
  <si>
    <t>How to use this workbook</t>
  </si>
  <si>
    <t>FPV-D6 is signed off on evidence, item by item. This sheet says who fills what.</t>
  </si>
  <si>
    <t>1. Owners</t>
  </si>
  <si>
    <t>On the Checklist, for each item: write the Result or measured value, the Evidence (a link to the report, dashboard or file name), who owns that evidence, and set Owner status. Waived needs a Waiver ID that exists on the Waivers sheet.</t>
  </si>
  <si>
    <t>2. Stage lead</t>
  </si>
  <si>
    <t>Review each item against its evidence. Set Stage lead confirmation to Confirmed, or Rejected with a comment saying what is missing. Date every confirmation.</t>
  </si>
  <si>
    <t>3. Flags</t>
  </si>
  <si>
    <t>The Flag column names any row that is not yet supported: evidence missing, a waiver without an ID, a rejection without a comment, a confirmation of a failing item, or an undated confirmation. Clear every flag.</t>
  </si>
  <si>
    <t>4. Issues and waivers</t>
  </si>
  <si>
    <t>Record anything blocking an item on Open issues, linked by item ID. A Critical or High issue left Open, or a waiver without an approver, holds the gate.</t>
  </si>
  <si>
    <t>5. Final decision</t>
  </si>
  <si>
    <t>The Sign-off sheet counts the Checklist and suggests an outcome. The stage lead records the Decision, any conditions, and the date. Each role then records its own decision.</t>
  </si>
  <si>
    <t>6. Handover</t>
  </si>
  <si>
    <t>Attach the completed workbook to this deliverable's Handover in AtlasPM and date the handover when it is accepted.</t>
  </si>
  <si>
    <t>Yellow cells</t>
  </si>
  <si>
    <t>Input — fill these in.</t>
  </si>
  <si>
    <t>Grey cells</t>
  </si>
  <si>
    <t>Given by the template from the activity write-up — do not edit.</t>
  </si>
  <si>
    <t>Pass — meets the target. Fail — does not. Waived — does not, and a waiver accepts it. N/A — does not apply, with the reason in Result. Open — not yet assessed.</t>
  </si>
  <si>
    <t>Lead confirmation</t>
  </si>
  <si>
    <t>Pending — not yet reviewed. Confirmed — the evidence supports the status. Rejected — it does not; the comment says why.</t>
  </si>
  <si>
    <t>Example row</t>
  </si>
  <si>
    <t>Macro pin timing — setup and hold, all signoff corners</t>
  </si>
  <si>
    <t>Target</t>
  </si>
  <si>
    <t>Within vendor limits, no negative slack</t>
  </si>
  <si>
    <t>Result</t>
  </si>
  <si>
    <t>Worst setup slack +42 ps (ss_0p72v_125c); worst hold +18 ps (ff_0p88v_m40c)</t>
  </si>
  <si>
    <t>Evidence</t>
  </si>
  <si>
    <t>sta/turn3/emram_pins_summary.rpt (run 2027-05-14)</t>
  </si>
  <si>
    <t>Timing closure lead</t>
  </si>
  <si>
    <t>Confirmed — 2027-05-16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</si>
</sst>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9" x14ac:knownFonts="1">
    <font>
      <color theme="1"/>
      <family val="2"/>
      <scheme val="minor"/>
      <sz val="11"/>
      <name val="Calibri"/>
    </font>
    <font>
      <b/>
      <color rgb="FF1F2328"/>
      <sz val="14"/>
      <name val="Arial"/>
    </font>
    <font>
      <i/>
      <color rgb="FF6E7781"/>
      <sz val="9"/>
      <name val="Arial"/>
    </font>
    <font>
      <b/>
      <color rgb="FF5B5BD6"/>
      <sz val="11"/>
      <name val="Arial"/>
    </font>
    <font>
      <b/>
      <color rgb="FF1F2328"/>
      <sz val="9"/>
      <name val="Arial"/>
    </font>
    <font>
      <color rgb="FF1F2328"/>
      <sz val="10"/>
      <name val="Arial"/>
    </font>
    <font>
      <b/>
      <color rgb="FF1F2328"/>
      <sz val="10"/>
      <name val="Arial"/>
    </font>
    <font>
      <b/>
      <color rgb="FFCF222E"/>
      <sz val="10"/>
      <name val="Arial"/>
    </font>
    <font>
      <b/>
      <color rgb="FF5B5BD6"/>
      <sz val="10"/>
      <name val="Arial"/>
    </font>
  </fonts>
  <fills count="5">
    <fill>
      <patternFill patternType="none"/>
    </fill>
    <fill>
      <patternFill patternType="gray125"/>
    </fill>
    <fill>
      <patternFill patternType="solid">
        <fgColor rgb="FFEEF0FB"/>
      </patternFill>
    </fill>
    <fill>
      <patternFill patternType="solid">
        <fgColor rgb="FFFFF8D6"/>
      </patternFill>
    </fill>
    <fill>
      <patternFill patternType="solid">
        <fgColor rgb="FFF6F8FA"/>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2" borderId="1" xfId="0" applyFont="1" applyFill="1" applyBorder="1" applyAlignment="1">
      <alignment vertical="top"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164" fontId="5" fillId="3" borderId="1" xfId="0" applyNumberFormat="1" applyFont="1" applyFill="1" applyBorder="1" applyAlignment="1">
      <alignment vertical="top" wrapText="1"/>
    </xf>
    <xf numFmtId="9" fontId="5"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6" fillId="3" borderId="1" xfId="0" applyFont="1" applyFill="1" applyBorder="1" applyAlignment="1">
      <alignment vertical="top"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8" fillId="0" borderId="0" xfId="0" applyFont="1" applyAlignment="1">
      <alignment vertical="top" wrapText="1"/>
    </xf>
  </cellXfs>
  <cellStyles count="1">
    <cellStyle name="Normal" xfId="0" builtinId="0"/>
  </cellStyles>
  <dxfs count="7">
    <dxf>
      <fill>
        <patternFill patternType="solid">
          <bgColor rgb="FFDAFBE1"/>
        </patternFill>
      </fill>
    </dxf>
    <dxf>
      <fill>
        <patternFill patternType="solid">
          <bgColor rgb="FFFFD8D3"/>
        </patternFill>
      </fill>
    </dxf>
    <dxf>
      <fill>
        <patternFill patternType="solid">
          <bgColor rgb="FFDAFBE1"/>
        </patternFill>
      </fill>
    </dxf>
    <dxf>
      <fill>
        <patternFill patternType="solid">
          <bgColor rgb="FFFFD8D3"/>
        </patternFill>
      </fill>
    </dxf>
    <dxf>
      <fill>
        <patternFill patternType="solid">
          <bgColor rgb="FFFFEFC6"/>
        </patternFill>
      </fill>
    </dxf>
    <dxf>
      <fill>
        <patternFill patternType="solid">
          <bgColor rgb="FFDAFBE1"/>
        </patternFill>
      </fill>
    </dxf>
    <dxf>
      <fill>
        <patternFill patternType="solid">
          <bgColor rgb="FFFFD8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workbookViewId="0" showGridLines="0"/>
  </sheetViews>
  <sheetFormatPr defaultRowHeight="15" outlineLevelRow="0" outlineLevelCol="0" x14ac:dyDescent="55"/>
  <cols>
    <col min="1" max="1" width="34" customWidth="1"/>
    <col min="2" max="2" width="22" customWidth="1"/>
    <col min="3" max="3" width="20" customWidth="1"/>
    <col min="4" max="4" width="18" customWidth="1"/>
    <col min="5" max="5" width="30" customWidth="1"/>
  </cols>
  <sheetData>
    <row r="1" spans="1:5" x14ac:dyDescent="0.25">
      <c r="A1" s="1" t="s">
        <v>0</v>
      </c>
      <c r="B1" s="1"/>
      <c r="C1" s="1"/>
      <c r="D1" s="1"/>
      <c r="E1" s="1"/>
    </row>
    <row r="2" ht="28" customHeight="1" spans="1:5" x14ac:dyDescent="0.25">
      <c r="A2" s="2" t="s">
        <v>1</v>
      </c>
      <c r="B2" s="2"/>
      <c r="C2" s="2"/>
      <c r="D2" s="2"/>
      <c r="E2" s="2"/>
    </row>
    <row r="4" spans="1:5" x14ac:dyDescent="0.25">
      <c r="A4" s="3" t="s">
        <v>2</v>
      </c>
      <c r="B4" s="3"/>
      <c r="C4" s="3"/>
      <c r="D4" s="3"/>
      <c r="E4" s="3"/>
    </row>
    <row r="5" spans="1:5" x14ac:dyDescent="0.25">
      <c r="A5" s="4" t="s">
        <v>3</v>
      </c>
      <c r="B5" s="5" t="s">
        <v>4</v>
      </c>
      <c r="C5" s="5"/>
      <c r="D5" s="5"/>
      <c r="E5" s="5"/>
    </row>
    <row r="6" spans="1:5" x14ac:dyDescent="0.25">
      <c r="A6" s="4" t="s">
        <v>5</v>
      </c>
      <c r="B6" s="6" t="s">
        <v>0</v>
      </c>
      <c r="C6" s="6"/>
      <c r="D6" s="6"/>
      <c r="E6" s="6"/>
    </row>
    <row r="7" spans="1:5" x14ac:dyDescent="0.25">
      <c r="A7" s="4" t="s">
        <v>6</v>
      </c>
      <c r="B7" s="6" t="s">
        <v>7</v>
      </c>
      <c r="C7" s="6"/>
      <c r="D7" s="6"/>
      <c r="E7" s="6"/>
    </row>
    <row r="8" spans="1:5" x14ac:dyDescent="0.25">
      <c r="A8" s="4" t="s">
        <v>8</v>
      </c>
      <c r="B8" s="6" t="s">
        <v>9</v>
      </c>
      <c r="C8" s="6"/>
      <c r="D8" s="6"/>
      <c r="E8" s="6"/>
    </row>
    <row r="9" spans="1:5" x14ac:dyDescent="0.25">
      <c r="A9" s="4" t="s">
        <v>10</v>
      </c>
      <c r="B9" s="6" t="s">
        <v>11</v>
      </c>
      <c r="C9" s="6"/>
      <c r="D9" s="6"/>
      <c r="E9" s="6"/>
    </row>
    <row r="10" spans="1:5" x14ac:dyDescent="0.25">
      <c r="A10" s="4" t="s">
        <v>12</v>
      </c>
      <c r="B10" s="5" t="s">
        <v>4</v>
      </c>
      <c r="C10" s="5"/>
      <c r="D10" s="5"/>
      <c r="E10" s="5"/>
    </row>
    <row r="11" spans="1:5" x14ac:dyDescent="0.25">
      <c r="A11" s="4" t="s">
        <v>13</v>
      </c>
      <c r="B11" s="7" t="s">
        <v>4</v>
      </c>
      <c r="C11" s="7"/>
      <c r="D11" s="7"/>
      <c r="E11" s="7"/>
    </row>
    <row r="13" spans="1:5" x14ac:dyDescent="0.25">
      <c r="A13" s="3" t="s">
        <v>14</v>
      </c>
      <c r="B13" s="3"/>
      <c r="C13" s="3"/>
      <c r="D13" s="3"/>
      <c r="E13" s="3"/>
    </row>
    <row r="14" spans="1:5" x14ac:dyDescent="0.25">
      <c r="A14" s="4" t="s">
        <v>15</v>
      </c>
      <c r="B14" s="6">
        <f>SUMPRODUCT(--(LEN(Checklist!$C$4:$C$36)&gt;0))</f>
        <v>23</v>
      </c>
      <c r="C14" s="6"/>
      <c r="D14" s="6"/>
      <c r="E14" s="6"/>
    </row>
    <row r="15" spans="1:5" x14ac:dyDescent="0.25">
      <c r="A15" s="4" t="s">
        <v>16</v>
      </c>
      <c r="B15" s="6">
        <f>COUNTIFS(Checklist!$C$4:$C$36,"&lt;&gt;",Checklist!$H$4:$H$36,"Pass")</f>
        <v>0</v>
      </c>
      <c r="C15" s="6"/>
      <c r="D15" s="6"/>
      <c r="E15" s="6"/>
    </row>
    <row r="16" spans="1:5" x14ac:dyDescent="0.25">
      <c r="A16" s="4" t="s">
        <v>17</v>
      </c>
      <c r="B16" s="6">
        <f>COUNTIFS(Checklist!$C$4:$C$36,"&lt;&gt;",Checklist!$H$4:$H$36,"Waived")</f>
        <v>0</v>
      </c>
      <c r="C16" s="6"/>
      <c r="D16" s="6"/>
      <c r="E16" s="6"/>
    </row>
    <row r="17" spans="1:5" x14ac:dyDescent="0.25">
      <c r="A17" s="4" t="s">
        <v>18</v>
      </c>
      <c r="B17" s="6">
        <f>COUNTIFS(Checklist!$C$4:$C$36,"&lt;&gt;",Checklist!$H$4:$H$36,"N/A")</f>
        <v>0</v>
      </c>
      <c r="C17" s="6"/>
      <c r="D17" s="6"/>
      <c r="E17" s="6"/>
    </row>
    <row r="18" spans="1:5" x14ac:dyDescent="0.25">
      <c r="A18" s="4" t="s">
        <v>19</v>
      </c>
      <c r="B18" s="6">
        <f>COUNTIFS(Checklist!$C$4:$C$36,"&lt;&gt;",Checklist!$H$4:$H$36,"Fail")</f>
        <v>0</v>
      </c>
      <c r="C18" s="6"/>
      <c r="D18" s="6"/>
      <c r="E18" s="6"/>
    </row>
    <row r="19" spans="1:5" x14ac:dyDescent="0.25">
      <c r="A19" s="4" t="s">
        <v>20</v>
      </c>
      <c r="B19" s="6">
        <f>COUNTIFS(Checklist!$C$4:$C$36,"&lt;&gt;",Checklist!$H$4:$H$36,"Open")+COUNTIFS(Checklist!$C$4:$C$36,"&lt;&gt;",Checklist!$H$4:$H$36,"")</f>
        <v>23</v>
      </c>
      <c r="C19" s="6"/>
      <c r="D19" s="6"/>
      <c r="E19" s="6"/>
    </row>
    <row r="20" spans="1:5" x14ac:dyDescent="0.25">
      <c r="A20" s="4" t="s">
        <v>21</v>
      </c>
      <c r="B20" s="6">
        <f>COUNTIFS(Checklist!$C$4:$C$36,"&lt;&gt;",Checklist!$J$4:$J$36,"Confirmed")</f>
        <v>0</v>
      </c>
      <c r="C20" s="6"/>
      <c r="D20" s="6"/>
      <c r="E20" s="6"/>
    </row>
    <row r="21" spans="1:5" x14ac:dyDescent="0.25">
      <c r="A21" s="4" t="s">
        <v>22</v>
      </c>
      <c r="B21" s="6">
        <f>COUNTIFS(Checklist!$C$4:$C$36,"&lt;&gt;",Checklist!$J$4:$J$36,"Rejected")</f>
        <v>0</v>
      </c>
      <c r="C21" s="6"/>
      <c r="D21" s="6"/>
      <c r="E21" s="6"/>
    </row>
    <row r="22" spans="1:5" x14ac:dyDescent="0.25">
      <c r="A22" s="4" t="s">
        <v>23</v>
      </c>
      <c r="B22" s="6">
        <f>COUNTIFS(Checklist!$C$4:$C$36,"&lt;&gt;",Checklist!$J$4:$J$36,"Pending")+COUNTIFS(Checklist!$C$4:$C$36,"&lt;&gt;",Checklist!$J$4:$J$36,"")</f>
        <v>23</v>
      </c>
      <c r="C22" s="6"/>
      <c r="D22" s="6"/>
      <c r="E22" s="6"/>
    </row>
    <row r="23" spans="1:5" x14ac:dyDescent="0.25">
      <c r="A23" s="4" t="s">
        <v>24</v>
      </c>
      <c r="B23" s="8">
        <f>IF(B14=0,0,B20/B14)</f>
        <v>0</v>
      </c>
      <c r="C23" s="8"/>
      <c r="D23" s="8"/>
      <c r="E23" s="8"/>
    </row>
    <row r="24" spans="1:5" x14ac:dyDescent="0.25">
      <c r="A24" s="4" t="s">
        <v>25</v>
      </c>
      <c r="B24" s="6">
        <f>SUMPRODUCT(--(LEN(Checklist!$M$4:$M$36)&gt;0))</f>
        <v>0</v>
      </c>
      <c r="C24" s="6"/>
      <c r="D24" s="6"/>
      <c r="E24" s="6"/>
    </row>
    <row r="25" spans="1:5" x14ac:dyDescent="0.25">
      <c r="A25" s="4" t="s">
        <v>26</v>
      </c>
      <c r="B25" s="6">
        <f>COUNTIFS('Open issues'!$D$4:$D$43,"Critical",'Open issues'!$G$4:$G$43,"Open")+COUNTIFS('Open issues'!$D$4:$D$43,"High",'Open issues'!$G$4:$G$43,"Open")</f>
        <v>0</v>
      </c>
      <c r="C25" s="6"/>
      <c r="D25" s="6"/>
      <c r="E25" s="6"/>
    </row>
    <row r="26" spans="1:5" x14ac:dyDescent="0.25">
      <c r="A26" s="4" t="s">
        <v>27</v>
      </c>
      <c r="B26" s="6">
        <f>COUNTIFS(Waivers!$A$4:$A$33,"&lt;&gt;",Waivers!$G$4:$G$33,"")</f>
        <v>0</v>
      </c>
      <c r="C26" s="6"/>
      <c r="D26" s="6"/>
      <c r="E26" s="6"/>
    </row>
    <row r="27" spans="1:5" x14ac:dyDescent="0.25">
      <c r="A27" s="4" t="s">
        <v>28</v>
      </c>
      <c r="B27" s="9" t="str">
        <f>IF(OR(B18&gt;0,B21&gt;0,B25&gt;0),"Not ready — blocking items",IF(AND(B14&gt;0,B20=B14,B24=0,B26=0),"Ready to sign off","In review"))</f>
        <v>In review</v>
      </c>
      <c r="C27" s="9"/>
      <c r="D27" s="9"/>
      <c r="E27" s="9"/>
    </row>
    <row r="29" spans="1:5" x14ac:dyDescent="0.25">
      <c r="A29" s="3" t="s">
        <v>29</v>
      </c>
      <c r="B29" s="3"/>
      <c r="C29" s="3"/>
      <c r="D29" s="3"/>
      <c r="E29" s="3"/>
    </row>
    <row r="30" spans="1:5" x14ac:dyDescent="0.25">
      <c r="A30" s="4" t="s">
        <v>30</v>
      </c>
      <c r="B30" s="10" t="s">
        <v>4</v>
      </c>
      <c r="C30" s="10"/>
      <c r="D30" s="10"/>
      <c r="E30" s="10"/>
    </row>
    <row r="31" spans="1:5" x14ac:dyDescent="0.25">
      <c r="A31" s="4" t="s">
        <v>31</v>
      </c>
      <c r="B31" s="5" t="s">
        <v>4</v>
      </c>
      <c r="C31" s="5"/>
      <c r="D31" s="5"/>
      <c r="E31" s="5"/>
    </row>
    <row r="32" spans="1:5" x14ac:dyDescent="0.25">
      <c r="A32" s="4" t="s">
        <v>32</v>
      </c>
      <c r="B32" s="5" t="s">
        <v>4</v>
      </c>
      <c r="C32" s="5"/>
      <c r="D32" s="5"/>
      <c r="E32" s="5"/>
    </row>
    <row r="33" spans="1:5" x14ac:dyDescent="0.25">
      <c r="A33" s="4" t="s">
        <v>33</v>
      </c>
      <c r="B33" s="7" t="s">
        <v>4</v>
      </c>
      <c r="C33" s="7"/>
      <c r="D33" s="7"/>
      <c r="E33" s="7"/>
    </row>
    <row r="34" spans="1:5" x14ac:dyDescent="0.25">
      <c r="A34" s="4" t="s">
        <v>34</v>
      </c>
      <c r="B34" s="11" t="str">
        <f>IF(AND(B30="Signed off",B27&lt;&gt;"Ready to sign off"),"Signed off while the checklist is not ready — record the reason in Conditions","")</f>
        <v/>
      </c>
      <c r="C34" s="11"/>
      <c r="D34" s="11"/>
      <c r="E34" s="11"/>
    </row>
    <row r="36" spans="1:5" x14ac:dyDescent="0.25">
      <c r="A36" s="3" t="s">
        <v>35</v>
      </c>
      <c r="B36" s="3"/>
      <c r="C36" s="3"/>
      <c r="D36" s="3"/>
      <c r="E36" s="3"/>
    </row>
    <row r="37" spans="1:5" x14ac:dyDescent="0.25">
      <c r="A37" s="4" t="s">
        <v>36</v>
      </c>
      <c r="B37" s="4" t="s">
        <v>37</v>
      </c>
      <c r="C37" s="4" t="s">
        <v>30</v>
      </c>
      <c r="D37" s="4" t="s">
        <v>38</v>
      </c>
      <c r="E37" s="4" t="s">
        <v>39</v>
      </c>
    </row>
    <row r="38" spans="1:5" x14ac:dyDescent="0.25">
      <c r="A38" s="6" t="s">
        <v>11</v>
      </c>
      <c r="B38" s="5"/>
      <c r="C38" s="5"/>
      <c r="D38" s="7"/>
      <c r="E38" s="5"/>
    </row>
    <row r="39" spans="1:5" x14ac:dyDescent="0.25">
      <c r="A39" s="6" t="s">
        <v>40</v>
      </c>
      <c r="B39" s="5"/>
      <c r="C39" s="5"/>
      <c r="D39" s="7"/>
      <c r="E39" s="5"/>
    </row>
    <row r="40" spans="1:5" x14ac:dyDescent="0.25">
      <c r="A40" s="6" t="s">
        <v>41</v>
      </c>
      <c r="B40" s="5"/>
      <c r="C40" s="5"/>
      <c r="D40" s="7"/>
      <c r="E40" s="5"/>
    </row>
    <row r="41" spans="1:5" x14ac:dyDescent="0.25">
      <c r="A41" s="6" t="s">
        <v>42</v>
      </c>
      <c r="B41" s="5"/>
      <c r="C41" s="5"/>
      <c r="D41" s="7"/>
      <c r="E41" s="5"/>
    </row>
    <row r="42" spans="1:5" x14ac:dyDescent="0.25">
      <c r="A42" s="6" t="s">
        <v>43</v>
      </c>
      <c r="B42" s="5"/>
      <c r="C42" s="5"/>
      <c r="D42" s="7"/>
      <c r="E42" s="5"/>
    </row>
  </sheetData>
  <mergeCells count="32">
    <mergeCell ref="A1:E1"/>
    <mergeCell ref="A2:E2"/>
    <mergeCell ref="A4:E4"/>
    <mergeCell ref="B5:E5"/>
    <mergeCell ref="B6:E6"/>
    <mergeCell ref="B7:E7"/>
    <mergeCell ref="B8:E8"/>
    <mergeCell ref="B9:E9"/>
    <mergeCell ref="B10:E10"/>
    <mergeCell ref="B11:E11"/>
    <mergeCell ref="A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A29:E29"/>
    <mergeCell ref="B30:E30"/>
    <mergeCell ref="B31:E31"/>
    <mergeCell ref="B32:E32"/>
    <mergeCell ref="B33:E33"/>
    <mergeCell ref="B34:E34"/>
    <mergeCell ref="A36:E36"/>
  </mergeCells>
  <conditionalFormatting sqref="B27">
    <cfRule type="containsText" dxfId="0" priority="1">
      <formula>NOT(ISERROR(SEARCH("Ready",B27)))</formula>
    </cfRule>
    <cfRule type="containsText" dxfId="1" priority="2">
      <formula>NOT(ISERROR(SEARCH("Not ready",B27)))</formula>
    </cfRule>
  </conditionalFormatting>
  <dataValidations count="5">
    <dataValidation type="date" operator="greaterThan" allowBlank="1" showErrorMessage="1" error="A date, e.g. 2027-03-15" sqref="B11">
      <formula1>43831</formula1>
    </dataValidation>
    <dataValidation type="list" allowBlank="1" showErrorMessage="1" errorTitle="Pick from the list" error="One of: Signed off, Signed off with conditions, Not signed off" sqref="B30">
      <formula1>"Signed off,Signed off with conditions,Not signed off"</formula1>
    </dataValidation>
    <dataValidation type="date" operator="greaterThan" allowBlank="1" showErrorMessage="1" error="A date, e.g. 2027-03-15" sqref="B33">
      <formula1>43831</formula1>
    </dataValidation>
    <dataValidation type="list" allowBlank="1" showErrorMessage="1" errorTitle="Pick from the list" error="One of: Approve, Approve with conditions, Reject" sqref="C38:C42">
      <formula1>"Approve,Approve with conditions,Reject"</formula1>
    </dataValidation>
    <dataValidation type="date" operator="greaterThan" allowBlank="1" showErrorMessage="1" error="A date, e.g. 2027-03-15" sqref="D38:D42">
      <formula1>43831</formula1>
    </dataValidation>
  </dataValidations>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workbookViewId="0">
      <pane xSplit="3" ySplit="3" topLeftCell="D4" activePane="bottomRight" state="frozen"/>
      <selection pane="bottomRight"/>
    </sheetView>
  </sheetViews>
  <sheetFormatPr defaultRowHeight="15" outlineLevelRow="0" outlineLevelCol="0" x14ac:dyDescent="55"/>
  <cols>
    <col min="1" max="1" width="7" customWidth="1"/>
    <col min="2" max="2" width="13" customWidth="1"/>
    <col min="3" max="3" width="46" customWidth="1"/>
    <col min="4" max="4" width="26" customWidth="1"/>
    <col min="5" max="5" width="28" customWidth="1"/>
    <col min="6" max="6" width="30" customWidth="1"/>
    <col min="7" max="7" width="16" customWidth="1"/>
    <col min="8" max="8" width="12" customWidth="1"/>
    <col min="9" max="9" width="10" customWidth="1"/>
    <col min="10" max="10" width="14" customWidth="1"/>
    <col min="11" max="11" width="28" customWidth="1"/>
    <col min="12" max="12" width="12" customWidth="1"/>
    <col min="13" max="13" width="26" customWidth="1"/>
  </cols>
  <sheetData>
    <row r="1" spans="1:13" x14ac:dyDescent="0.25">
      <c r="A1" s="1" t="s">
        <v>44</v>
      </c>
      <c r="B1" s="1"/>
      <c r="C1" s="1"/>
      <c r="D1" s="1"/>
      <c r="E1" s="1"/>
      <c r="F1" s="1"/>
      <c r="G1" s="1"/>
      <c r="H1" s="1"/>
      <c r="I1" s="1"/>
      <c r="J1" s="1"/>
      <c r="K1" s="1"/>
      <c r="L1" s="1"/>
      <c r="M1" s="1"/>
    </row>
    <row r="2" ht="28" customHeight="1" spans="1:13" x14ac:dyDescent="0.25">
      <c r="A2" s="2" t="s">
        <v>45</v>
      </c>
      <c r="B2" s="2"/>
      <c r="C2" s="2"/>
      <c r="D2" s="2"/>
      <c r="E2" s="2"/>
      <c r="F2" s="2"/>
      <c r="G2" s="2"/>
      <c r="H2" s="2"/>
      <c r="I2" s="2"/>
      <c r="J2" s="2"/>
      <c r="K2" s="2"/>
      <c r="L2" s="2"/>
      <c r="M2" s="2"/>
    </row>
    <row r="3" ht="30" customHeight="1" spans="1:13" x14ac:dyDescent="0.25">
      <c r="A3" s="4" t="s">
        <v>46</v>
      </c>
      <c r="B3" s="4" t="s">
        <v>47</v>
      </c>
      <c r="C3" s="4" t="s">
        <v>48</v>
      </c>
      <c r="D3" s="4" t="s">
        <v>49</v>
      </c>
      <c r="E3" s="4" t="s">
        <v>50</v>
      </c>
      <c r="F3" s="4" t="s">
        <v>51</v>
      </c>
      <c r="G3" s="4" t="s">
        <v>52</v>
      </c>
      <c r="H3" s="4" t="s">
        <v>53</v>
      </c>
      <c r="I3" s="4" t="s">
        <v>54</v>
      </c>
      <c r="J3" s="4" t="s">
        <v>55</v>
      </c>
      <c r="K3" s="4" t="s">
        <v>56</v>
      </c>
      <c r="L3" s="4" t="s">
        <v>57</v>
      </c>
      <c r="M3" s="4" t="s">
        <v>58</v>
      </c>
    </row>
    <row r="4" spans="1:13" x14ac:dyDescent="0.25">
      <c r="A4" s="9" t="s">
        <v>59</v>
      </c>
      <c r="B4" s="6" t="s">
        <v>60</v>
      </c>
      <c r="C4" s="6" t="s">
        <v>61</v>
      </c>
      <c r="D4" s="6" t="s">
        <v>62</v>
      </c>
      <c r="E4" s="5"/>
      <c r="F4" s="5"/>
      <c r="G4" s="5"/>
      <c r="H4" s="5" t="s">
        <v>63</v>
      </c>
      <c r="I4" s="5"/>
      <c r="J4" s="5" t="s">
        <v>64</v>
      </c>
      <c r="K4" s="5"/>
      <c r="L4" s="7"/>
      <c r="M4" s="12" t="str">
        <f>IF(C4="","",IF(AND(J4="Confirmed",F4=""),"Evidence missing",IF(AND(H4="Waived",I4=""),"Waiver ID missing",IF(AND(J4="Rejected",K4=""),"Comment required",IF(AND(J4="Confirmed",OR(H4="Fail",H4="Open",H4="")),"Confirmed without a passing status",IF(AND(J4="Confirmed",L4=""),"Date missing",""))))))</f>
        <v/>
      </c>
    </row>
    <row r="5" spans="1:13" x14ac:dyDescent="0.25">
      <c r="A5" s="9" t="s">
        <v>65</v>
      </c>
      <c r="B5" s="6" t="s">
        <v>60</v>
      </c>
      <c r="C5" s="6" t="s">
        <v>66</v>
      </c>
      <c r="D5" s="6" t="s">
        <v>62</v>
      </c>
      <c r="E5" s="5"/>
      <c r="F5" s="5"/>
      <c r="G5" s="5"/>
      <c r="H5" s="5" t="s">
        <v>63</v>
      </c>
      <c r="I5" s="5"/>
      <c r="J5" s="5" t="s">
        <v>64</v>
      </c>
      <c r="K5" s="5"/>
      <c r="L5" s="7"/>
      <c r="M5" s="12" t="str">
        <f>IF(C5="","",IF(AND(J5="Confirmed",F5=""),"Evidence missing",IF(AND(H5="Waived",I5=""),"Waiver ID missing",IF(AND(J5="Rejected",K5=""),"Comment required",IF(AND(J5="Confirmed",OR(H5="Fail",H5="Open",H5="")),"Confirmed without a passing status",IF(AND(J5="Confirmed",L5=""),"Date missing",""))))))</f>
        <v/>
      </c>
    </row>
    <row r="6" spans="1:13" x14ac:dyDescent="0.25">
      <c r="A6" s="9" t="s">
        <v>67</v>
      </c>
      <c r="B6" s="6" t="s">
        <v>60</v>
      </c>
      <c r="C6" s="6" t="s">
        <v>68</v>
      </c>
      <c r="D6" s="6" t="s">
        <v>62</v>
      </c>
      <c r="E6" s="5"/>
      <c r="F6" s="5"/>
      <c r="G6" s="5"/>
      <c r="H6" s="5" t="s">
        <v>63</v>
      </c>
      <c r="I6" s="5"/>
      <c r="J6" s="5" t="s">
        <v>64</v>
      </c>
      <c r="K6" s="5"/>
      <c r="L6" s="7"/>
      <c r="M6" s="12" t="str">
        <f>IF(C6="","",IF(AND(J6="Confirmed",F6=""),"Evidence missing",IF(AND(H6="Waived",I6=""),"Waiver ID missing",IF(AND(J6="Rejected",K6=""),"Comment required",IF(AND(J6="Confirmed",OR(H6="Fail",H6="Open",H6="")),"Confirmed without a passing status",IF(AND(J6="Confirmed",L6=""),"Date missing",""))))))</f>
        <v/>
      </c>
    </row>
    <row r="7" spans="1:13" x14ac:dyDescent="0.25">
      <c r="A7" s="9" t="s">
        <v>69</v>
      </c>
      <c r="B7" s="6" t="s">
        <v>60</v>
      </c>
      <c r="C7" s="6" t="s">
        <v>70</v>
      </c>
      <c r="D7" s="6" t="s">
        <v>62</v>
      </c>
      <c r="E7" s="5"/>
      <c r="F7" s="5"/>
      <c r="G7" s="5"/>
      <c r="H7" s="5" t="s">
        <v>63</v>
      </c>
      <c r="I7" s="5"/>
      <c r="J7" s="5" t="s">
        <v>64</v>
      </c>
      <c r="K7" s="5"/>
      <c r="L7" s="7"/>
      <c r="M7" s="12" t="str">
        <f>IF(C7="","",IF(AND(J7="Confirmed",F7=""),"Evidence missing",IF(AND(H7="Waived",I7=""),"Waiver ID missing",IF(AND(J7="Rejected",K7=""),"Comment required",IF(AND(J7="Confirmed",OR(H7="Fail",H7="Open",H7="")),"Confirmed without a passing status",IF(AND(J7="Confirmed",L7=""),"Date missing",""))))))</f>
        <v/>
      </c>
    </row>
    <row r="8" spans="1:13" x14ac:dyDescent="0.25">
      <c r="A8" s="9" t="s">
        <v>71</v>
      </c>
      <c r="B8" s="6" t="s">
        <v>72</v>
      </c>
      <c r="C8" s="6" t="s">
        <v>73</v>
      </c>
      <c r="D8" s="6" t="s">
        <v>74</v>
      </c>
      <c r="E8" s="5"/>
      <c r="F8" s="5"/>
      <c r="G8" s="5"/>
      <c r="H8" s="5" t="s">
        <v>63</v>
      </c>
      <c r="I8" s="5"/>
      <c r="J8" s="5" t="s">
        <v>64</v>
      </c>
      <c r="K8" s="5"/>
      <c r="L8" s="7"/>
      <c r="M8" s="12" t="str">
        <f>IF(C8="","",IF(AND(J8="Confirmed",F8=""),"Evidence missing",IF(AND(H8="Waived",I8=""),"Waiver ID missing",IF(AND(J8="Rejected",K8=""),"Comment required",IF(AND(J8="Confirmed",OR(H8="Fail",H8="Open",H8="")),"Confirmed without a passing status",IF(AND(J8="Confirmed",L8=""),"Date missing",""))))))</f>
        <v/>
      </c>
    </row>
    <row r="9" spans="1:13" x14ac:dyDescent="0.25">
      <c r="A9" s="9" t="s">
        <v>75</v>
      </c>
      <c r="B9" s="6" t="s">
        <v>72</v>
      </c>
      <c r="C9" s="6" t="s">
        <v>76</v>
      </c>
      <c r="D9" s="6" t="s">
        <v>74</v>
      </c>
      <c r="E9" s="5"/>
      <c r="F9" s="5"/>
      <c r="G9" s="5"/>
      <c r="H9" s="5" t="s">
        <v>63</v>
      </c>
      <c r="I9" s="5"/>
      <c r="J9" s="5" t="s">
        <v>64</v>
      </c>
      <c r="K9" s="5"/>
      <c r="L9" s="7"/>
      <c r="M9" s="12" t="str">
        <f>IF(C9="","",IF(AND(J9="Confirmed",F9=""),"Evidence missing",IF(AND(H9="Waived",I9=""),"Waiver ID missing",IF(AND(J9="Rejected",K9=""),"Comment required",IF(AND(J9="Confirmed",OR(H9="Fail",H9="Open",H9="")),"Confirmed without a passing status",IF(AND(J9="Confirmed",L9=""),"Date missing",""))))))</f>
        <v/>
      </c>
    </row>
    <row r="10" spans="1:13" x14ac:dyDescent="0.25">
      <c r="A10" s="9" t="s">
        <v>77</v>
      </c>
      <c r="B10" s="6" t="s">
        <v>72</v>
      </c>
      <c r="C10" s="6" t="s">
        <v>78</v>
      </c>
      <c r="D10" s="6" t="s">
        <v>74</v>
      </c>
      <c r="E10" s="5"/>
      <c r="F10" s="5"/>
      <c r="G10" s="5"/>
      <c r="H10" s="5" t="s">
        <v>63</v>
      </c>
      <c r="I10" s="5"/>
      <c r="J10" s="5" t="s">
        <v>64</v>
      </c>
      <c r="K10" s="5"/>
      <c r="L10" s="7"/>
      <c r="M10" s="12" t="str">
        <f>IF(C10="","",IF(AND(J10="Confirmed",F10=""),"Evidence missing",IF(AND(H10="Waived",I10=""),"Waiver ID missing",IF(AND(J10="Rejected",K10=""),"Comment required",IF(AND(J10="Confirmed",OR(H10="Fail",H10="Open",H10="")),"Confirmed without a passing status",IF(AND(J10="Confirmed",L10=""),"Date missing",""))))))</f>
        <v/>
      </c>
    </row>
    <row r="11" spans="1:13" x14ac:dyDescent="0.25">
      <c r="A11" s="9" t="s">
        <v>79</v>
      </c>
      <c r="B11" s="6" t="s">
        <v>80</v>
      </c>
      <c r="C11" s="6" t="s">
        <v>81</v>
      </c>
      <c r="D11" s="6" t="s">
        <v>82</v>
      </c>
      <c r="E11" s="5"/>
      <c r="F11" s="5"/>
      <c r="G11" s="5"/>
      <c r="H11" s="5" t="s">
        <v>63</v>
      </c>
      <c r="I11" s="5"/>
      <c r="J11" s="5" t="s">
        <v>64</v>
      </c>
      <c r="K11" s="5"/>
      <c r="L11" s="7"/>
      <c r="M11" s="12" t="str">
        <f>IF(C11="","",IF(AND(J11="Confirmed",F11=""),"Evidence missing",IF(AND(H11="Waived",I11=""),"Waiver ID missing",IF(AND(J11="Rejected",K11=""),"Comment required",IF(AND(J11="Confirmed",OR(H11="Fail",H11="Open",H11="")),"Confirmed without a passing status",IF(AND(J11="Confirmed",L11=""),"Date missing",""))))))</f>
        <v/>
      </c>
    </row>
    <row r="12" spans="1:13" x14ac:dyDescent="0.25">
      <c r="A12" s="9" t="s">
        <v>83</v>
      </c>
      <c r="B12" s="6" t="s">
        <v>80</v>
      </c>
      <c r="C12" s="6" t="s">
        <v>84</v>
      </c>
      <c r="D12" s="6" t="s">
        <v>85</v>
      </c>
      <c r="E12" s="5"/>
      <c r="F12" s="5"/>
      <c r="G12" s="5"/>
      <c r="H12" s="5" t="s">
        <v>63</v>
      </c>
      <c r="I12" s="5"/>
      <c r="J12" s="5" t="s">
        <v>64</v>
      </c>
      <c r="K12" s="5"/>
      <c r="L12" s="7"/>
      <c r="M12" s="12" t="str">
        <f>IF(C12="","",IF(AND(J12="Confirmed",F12=""),"Evidence missing",IF(AND(H12="Waived",I12=""),"Waiver ID missing",IF(AND(J12="Rejected",K12=""),"Comment required",IF(AND(J12="Confirmed",OR(H12="Fail",H12="Open",H12="")),"Confirmed without a passing status",IF(AND(J12="Confirmed",L12=""),"Date missing",""))))))</f>
        <v/>
      </c>
    </row>
    <row r="13" spans="1:13" x14ac:dyDescent="0.25">
      <c r="A13" s="9" t="s">
        <v>86</v>
      </c>
      <c r="B13" s="6" t="s">
        <v>80</v>
      </c>
      <c r="C13" s="6" t="s">
        <v>87</v>
      </c>
      <c r="D13" s="6" t="s">
        <v>88</v>
      </c>
      <c r="E13" s="5"/>
      <c r="F13" s="5"/>
      <c r="G13" s="5"/>
      <c r="H13" s="5" t="s">
        <v>63</v>
      </c>
      <c r="I13" s="5"/>
      <c r="J13" s="5" t="s">
        <v>64</v>
      </c>
      <c r="K13" s="5"/>
      <c r="L13" s="7"/>
      <c r="M13" s="12" t="str">
        <f>IF(C13="","",IF(AND(J13="Confirmed",F13=""),"Evidence missing",IF(AND(H13="Waived",I13=""),"Waiver ID missing",IF(AND(J13="Rejected",K13=""),"Comment required",IF(AND(J13="Confirmed",OR(H13="Fail",H13="Open",H13="")),"Confirmed without a passing status",IF(AND(J13="Confirmed",L13=""),"Date missing",""))))))</f>
        <v/>
      </c>
    </row>
    <row r="14" spans="1:13" x14ac:dyDescent="0.25">
      <c r="A14" s="9" t="s">
        <v>89</v>
      </c>
      <c r="B14" s="6" t="s">
        <v>80</v>
      </c>
      <c r="C14" s="6" t="s">
        <v>90</v>
      </c>
      <c r="D14" s="6" t="s">
        <v>88</v>
      </c>
      <c r="E14" s="5"/>
      <c r="F14" s="5"/>
      <c r="G14" s="5"/>
      <c r="H14" s="5" t="s">
        <v>63</v>
      </c>
      <c r="I14" s="5"/>
      <c r="J14" s="5" t="s">
        <v>64</v>
      </c>
      <c r="K14" s="5"/>
      <c r="L14" s="7"/>
      <c r="M14" s="12" t="str">
        <f>IF(C14="","",IF(AND(J14="Confirmed",F14=""),"Evidence missing",IF(AND(H14="Waived",I14=""),"Waiver ID missing",IF(AND(J14="Rejected",K14=""),"Comment required",IF(AND(J14="Confirmed",OR(H14="Fail",H14="Open",H14="")),"Confirmed without a passing status",IF(AND(J14="Confirmed",L14=""),"Date missing",""))))))</f>
        <v/>
      </c>
    </row>
    <row r="15" spans="1:13" x14ac:dyDescent="0.25">
      <c r="A15" s="9" t="s">
        <v>91</v>
      </c>
      <c r="B15" s="6" t="s">
        <v>80</v>
      </c>
      <c r="C15" s="6" t="s">
        <v>92</v>
      </c>
      <c r="D15" s="6" t="s">
        <v>93</v>
      </c>
      <c r="E15" s="5"/>
      <c r="F15" s="5"/>
      <c r="G15" s="5"/>
      <c r="H15" s="5" t="s">
        <v>63</v>
      </c>
      <c r="I15" s="5"/>
      <c r="J15" s="5" t="s">
        <v>64</v>
      </c>
      <c r="K15" s="5"/>
      <c r="L15" s="7"/>
      <c r="M15" s="12" t="str">
        <f>IF(C15="","",IF(AND(J15="Confirmed",F15=""),"Evidence missing",IF(AND(H15="Waived",I15=""),"Waiver ID missing",IF(AND(J15="Rejected",K15=""),"Comment required",IF(AND(J15="Confirmed",OR(H15="Fail",H15="Open",H15="")),"Confirmed without a passing status",IF(AND(J15="Confirmed",L15=""),"Date missing",""))))))</f>
        <v/>
      </c>
    </row>
    <row r="16" spans="1:13" x14ac:dyDescent="0.25">
      <c r="A16" s="9" t="s">
        <v>94</v>
      </c>
      <c r="B16" s="6" t="s">
        <v>80</v>
      </c>
      <c r="C16" s="6" t="s">
        <v>95</v>
      </c>
      <c r="D16" s="6" t="s">
        <v>96</v>
      </c>
      <c r="E16" s="5"/>
      <c r="F16" s="5"/>
      <c r="G16" s="5"/>
      <c r="H16" s="5" t="s">
        <v>63</v>
      </c>
      <c r="I16" s="5"/>
      <c r="J16" s="5" t="s">
        <v>64</v>
      </c>
      <c r="K16" s="5"/>
      <c r="L16" s="7"/>
      <c r="M16" s="12" t="str">
        <f>IF(C16="","",IF(AND(J16="Confirmed",F16=""),"Evidence missing",IF(AND(H16="Waived",I16=""),"Waiver ID missing",IF(AND(J16="Rejected",K16=""),"Comment required",IF(AND(J16="Confirmed",OR(H16="Fail",H16="Open",H16="")),"Confirmed without a passing status",IF(AND(J16="Confirmed",L16=""),"Date missing",""))))))</f>
        <v/>
      </c>
    </row>
    <row r="17" spans="1:13" x14ac:dyDescent="0.25">
      <c r="A17" s="9" t="s">
        <v>97</v>
      </c>
      <c r="B17" s="6" t="s">
        <v>80</v>
      </c>
      <c r="C17" s="6" t="s">
        <v>98</v>
      </c>
      <c r="D17" s="6" t="s">
        <v>88</v>
      </c>
      <c r="E17" s="5"/>
      <c r="F17" s="5"/>
      <c r="G17" s="5"/>
      <c r="H17" s="5" t="s">
        <v>63</v>
      </c>
      <c r="I17" s="5"/>
      <c r="J17" s="5" t="s">
        <v>64</v>
      </c>
      <c r="K17" s="5"/>
      <c r="L17" s="7"/>
      <c r="M17" s="12" t="str">
        <f>IF(C17="","",IF(AND(J17="Confirmed",F17=""),"Evidence missing",IF(AND(H17="Waived",I17=""),"Waiver ID missing",IF(AND(J17="Rejected",K17=""),"Comment required",IF(AND(J17="Confirmed",OR(H17="Fail",H17="Open",H17="")),"Confirmed without a passing status",IF(AND(J17="Confirmed",L17=""),"Date missing",""))))))</f>
        <v/>
      </c>
    </row>
    <row r="18" spans="1:13" x14ac:dyDescent="0.25">
      <c r="A18" s="9" t="s">
        <v>99</v>
      </c>
      <c r="B18" s="6" t="s">
        <v>80</v>
      </c>
      <c r="C18" s="6" t="s">
        <v>100</v>
      </c>
      <c r="D18" s="6" t="s">
        <v>101</v>
      </c>
      <c r="E18" s="5"/>
      <c r="F18" s="5"/>
      <c r="G18" s="5"/>
      <c r="H18" s="5" t="s">
        <v>63</v>
      </c>
      <c r="I18" s="5"/>
      <c r="J18" s="5" t="s">
        <v>64</v>
      </c>
      <c r="K18" s="5"/>
      <c r="L18" s="7"/>
      <c r="M18" s="12" t="str">
        <f>IF(C18="","",IF(AND(J18="Confirmed",F18=""),"Evidence missing",IF(AND(H18="Waived",I18=""),"Waiver ID missing",IF(AND(J18="Rejected",K18=""),"Comment required",IF(AND(J18="Confirmed",OR(H18="Fail",H18="Open",H18="")),"Confirmed without a passing status",IF(AND(J18="Confirmed",L18=""),"Date missing",""))))))</f>
        <v/>
      </c>
    </row>
    <row r="19" spans="1:13" x14ac:dyDescent="0.25">
      <c r="A19" s="9" t="s">
        <v>102</v>
      </c>
      <c r="B19" s="6" t="s">
        <v>103</v>
      </c>
      <c r="C19" s="6" t="s">
        <v>104</v>
      </c>
      <c r="D19" s="6" t="s">
        <v>74</v>
      </c>
      <c r="E19" s="5"/>
      <c r="F19" s="5"/>
      <c r="G19" s="5"/>
      <c r="H19" s="5" t="s">
        <v>63</v>
      </c>
      <c r="I19" s="5"/>
      <c r="J19" s="5" t="s">
        <v>64</v>
      </c>
      <c r="K19" s="5"/>
      <c r="L19" s="7"/>
      <c r="M19" s="12" t="str">
        <f>IF(C19="","",IF(AND(J19="Confirmed",F19=""),"Evidence missing",IF(AND(H19="Waived",I19=""),"Waiver ID missing",IF(AND(J19="Rejected",K19=""),"Comment required",IF(AND(J19="Confirmed",OR(H19="Fail",H19="Open",H19="")),"Confirmed without a passing status",IF(AND(J19="Confirmed",L19=""),"Date missing",""))))))</f>
        <v/>
      </c>
    </row>
    <row r="20" spans="1:13" x14ac:dyDescent="0.25">
      <c r="A20" s="9" t="s">
        <v>105</v>
      </c>
      <c r="B20" s="6" t="s">
        <v>103</v>
      </c>
      <c r="C20" s="6" t="s">
        <v>106</v>
      </c>
      <c r="D20" s="6" t="s">
        <v>74</v>
      </c>
      <c r="E20" s="5"/>
      <c r="F20" s="5"/>
      <c r="G20" s="5"/>
      <c r="H20" s="5" t="s">
        <v>63</v>
      </c>
      <c r="I20" s="5"/>
      <c r="J20" s="5" t="s">
        <v>64</v>
      </c>
      <c r="K20" s="5"/>
      <c r="L20" s="7"/>
      <c r="M20" s="12" t="str">
        <f>IF(C20="","",IF(AND(J20="Confirmed",F20=""),"Evidence missing",IF(AND(H20="Waived",I20=""),"Waiver ID missing",IF(AND(J20="Rejected",K20=""),"Comment required",IF(AND(J20="Confirmed",OR(H20="Fail",H20="Open",H20="")),"Confirmed without a passing status",IF(AND(J20="Confirmed",L20=""),"Date missing",""))))))</f>
        <v/>
      </c>
    </row>
    <row r="21" spans="1:13" x14ac:dyDescent="0.25">
      <c r="A21" s="9" t="s">
        <v>107</v>
      </c>
      <c r="B21" s="6" t="s">
        <v>103</v>
      </c>
      <c r="C21" s="6" t="s">
        <v>108</v>
      </c>
      <c r="D21" s="6" t="s">
        <v>74</v>
      </c>
      <c r="E21" s="5"/>
      <c r="F21" s="5"/>
      <c r="G21" s="5"/>
      <c r="H21" s="5" t="s">
        <v>63</v>
      </c>
      <c r="I21" s="5"/>
      <c r="J21" s="5" t="s">
        <v>64</v>
      </c>
      <c r="K21" s="5"/>
      <c r="L21" s="7"/>
      <c r="M21" s="12" t="str">
        <f>IF(C21="","",IF(AND(J21="Confirmed",F21=""),"Evidence missing",IF(AND(H21="Waived",I21=""),"Waiver ID missing",IF(AND(J21="Rejected",K21=""),"Comment required",IF(AND(J21="Confirmed",OR(H21="Fail",H21="Open",H21="")),"Confirmed without a passing status",IF(AND(J21="Confirmed",L21=""),"Date missing",""))))))</f>
        <v/>
      </c>
    </row>
    <row r="22" spans="1:13" x14ac:dyDescent="0.25">
      <c r="A22" s="9" t="s">
        <v>109</v>
      </c>
      <c r="B22" s="6" t="s">
        <v>110</v>
      </c>
      <c r="C22" s="6" t="s">
        <v>111</v>
      </c>
      <c r="D22" s="6" t="s">
        <v>112</v>
      </c>
      <c r="E22" s="5"/>
      <c r="F22" s="5"/>
      <c r="G22" s="5"/>
      <c r="H22" s="5" t="s">
        <v>63</v>
      </c>
      <c r="I22" s="5"/>
      <c r="J22" s="5" t="s">
        <v>64</v>
      </c>
      <c r="K22" s="5"/>
      <c r="L22" s="7"/>
      <c r="M22" s="12" t="str">
        <f>IF(C22="","",IF(AND(J22="Confirmed",F22=""),"Evidence missing",IF(AND(H22="Waived",I22=""),"Waiver ID missing",IF(AND(J22="Rejected",K22=""),"Comment required",IF(AND(J22="Confirmed",OR(H22="Fail",H22="Open",H22="")),"Confirmed without a passing status",IF(AND(J22="Confirmed",L22=""),"Date missing",""))))))</f>
        <v/>
      </c>
    </row>
    <row r="23" spans="1:13" x14ac:dyDescent="0.25">
      <c r="A23" s="9" t="s">
        <v>113</v>
      </c>
      <c r="B23" s="6" t="s">
        <v>110</v>
      </c>
      <c r="C23" s="6" t="s">
        <v>114</v>
      </c>
      <c r="D23" s="6" t="s">
        <v>112</v>
      </c>
      <c r="E23" s="5"/>
      <c r="F23" s="5"/>
      <c r="G23" s="5"/>
      <c r="H23" s="5" t="s">
        <v>63</v>
      </c>
      <c r="I23" s="5"/>
      <c r="J23" s="5" t="s">
        <v>64</v>
      </c>
      <c r="K23" s="5"/>
      <c r="L23" s="7"/>
      <c r="M23" s="12" t="str">
        <f>IF(C23="","",IF(AND(J23="Confirmed",F23=""),"Evidence missing",IF(AND(H23="Waived",I23=""),"Waiver ID missing",IF(AND(J23="Rejected",K23=""),"Comment required",IF(AND(J23="Confirmed",OR(H23="Fail",H23="Open",H23="")),"Confirmed without a passing status",IF(AND(J23="Confirmed",L23=""),"Date missing",""))))))</f>
        <v/>
      </c>
    </row>
    <row r="24" spans="1:13" x14ac:dyDescent="0.25">
      <c r="A24" s="9" t="s">
        <v>115</v>
      </c>
      <c r="B24" s="6" t="s">
        <v>110</v>
      </c>
      <c r="C24" s="6" t="s">
        <v>116</v>
      </c>
      <c r="D24" s="6" t="s">
        <v>112</v>
      </c>
      <c r="E24" s="5"/>
      <c r="F24" s="5"/>
      <c r="G24" s="5"/>
      <c r="H24" s="5" t="s">
        <v>63</v>
      </c>
      <c r="I24" s="5"/>
      <c r="J24" s="5" t="s">
        <v>64</v>
      </c>
      <c r="K24" s="5"/>
      <c r="L24" s="7"/>
      <c r="M24" s="12" t="str">
        <f>IF(C24="","",IF(AND(J24="Confirmed",F24=""),"Evidence missing",IF(AND(H24="Waived",I24=""),"Waiver ID missing",IF(AND(J24="Rejected",K24=""),"Comment required",IF(AND(J24="Confirmed",OR(H24="Fail",H24="Open",H24="")),"Confirmed without a passing status",IF(AND(J24="Confirmed",L24=""),"Date missing",""))))))</f>
        <v/>
      </c>
    </row>
    <row r="25" spans="1:13" x14ac:dyDescent="0.25">
      <c r="A25" s="9" t="s">
        <v>117</v>
      </c>
      <c r="B25" s="6" t="s">
        <v>110</v>
      </c>
      <c r="C25" s="6" t="s">
        <v>118</v>
      </c>
      <c r="D25" s="6" t="s">
        <v>112</v>
      </c>
      <c r="E25" s="5"/>
      <c r="F25" s="5"/>
      <c r="G25" s="5"/>
      <c r="H25" s="5" t="s">
        <v>63</v>
      </c>
      <c r="I25" s="5"/>
      <c r="J25" s="5" t="s">
        <v>64</v>
      </c>
      <c r="K25" s="5"/>
      <c r="L25" s="7"/>
      <c r="M25" s="12" t="str">
        <f>IF(C25="","",IF(AND(J25="Confirmed",F25=""),"Evidence missing",IF(AND(H25="Waived",I25=""),"Waiver ID missing",IF(AND(J25="Rejected",K25=""),"Comment required",IF(AND(J25="Confirmed",OR(H25="Fail",H25="Open",H25="")),"Confirmed without a passing status",IF(AND(J25="Confirmed",L25=""),"Date missing",""))))))</f>
        <v/>
      </c>
    </row>
    <row r="26" spans="1:13" x14ac:dyDescent="0.25">
      <c r="A26" s="9" t="s">
        <v>119</v>
      </c>
      <c r="B26" s="6" t="s">
        <v>110</v>
      </c>
      <c r="C26" s="6" t="s">
        <v>120</v>
      </c>
      <c r="D26" s="6" t="s">
        <v>112</v>
      </c>
      <c r="E26" s="5"/>
      <c r="F26" s="5"/>
      <c r="G26" s="5"/>
      <c r="H26" s="5" t="s">
        <v>63</v>
      </c>
      <c r="I26" s="5"/>
      <c r="J26" s="5" t="s">
        <v>64</v>
      </c>
      <c r="K26" s="5"/>
      <c r="L26" s="7"/>
      <c r="M26" s="12" t="str">
        <f>IF(C26="","",IF(AND(J26="Confirmed",F26=""),"Evidence missing",IF(AND(H26="Waived",I26=""),"Waiver ID missing",IF(AND(J26="Rejected",K26=""),"Comment required",IF(AND(J26="Confirmed",OR(H26="Fail",H26="Open",H26="")),"Confirmed without a passing status",IF(AND(J26="Confirmed",L26=""),"Date missing",""))))))</f>
        <v/>
      </c>
    </row>
    <row r="27" spans="1:13" x14ac:dyDescent="0.25">
      <c r="A27" s="10"/>
      <c r="B27" s="5"/>
      <c r="C27" s="5"/>
      <c r="D27" s="5"/>
      <c r="E27" s="5"/>
      <c r="F27" s="5"/>
      <c r="G27" s="5"/>
      <c r="H27" s="5"/>
      <c r="I27" s="5"/>
      <c r="J27" s="5"/>
      <c r="K27" s="5"/>
      <c r="L27" s="7"/>
      <c r="M27" s="12" t="str">
        <f>IF(C27="","",IF(AND(J27="Confirmed",F27=""),"Evidence missing",IF(AND(H27="Waived",I27=""),"Waiver ID missing",IF(AND(J27="Rejected",K27=""),"Comment required",IF(AND(J27="Confirmed",OR(H27="Fail",H27="Open",H27="")),"Confirmed without a passing status",IF(AND(J27="Confirmed",L27=""),"Date missing",""))))))</f>
        <v/>
      </c>
    </row>
    <row r="28" spans="1:13" x14ac:dyDescent="0.25">
      <c r="A28" s="10"/>
      <c r="B28" s="5"/>
      <c r="C28" s="5"/>
      <c r="D28" s="5"/>
      <c r="E28" s="5"/>
      <c r="F28" s="5"/>
      <c r="G28" s="5"/>
      <c r="H28" s="5"/>
      <c r="I28" s="5"/>
      <c r="J28" s="5"/>
      <c r="K28" s="5"/>
      <c r="L28" s="7"/>
      <c r="M28" s="12" t="str">
        <f>IF(C28="","",IF(AND(J28="Confirmed",F28=""),"Evidence missing",IF(AND(H28="Waived",I28=""),"Waiver ID missing",IF(AND(J28="Rejected",K28=""),"Comment required",IF(AND(J28="Confirmed",OR(H28="Fail",H28="Open",H28="")),"Confirmed without a passing status",IF(AND(J28="Confirmed",L28=""),"Date missing",""))))))</f>
        <v/>
      </c>
    </row>
    <row r="29" spans="1:13" x14ac:dyDescent="0.25">
      <c r="A29" s="10"/>
      <c r="B29" s="5"/>
      <c r="C29" s="5"/>
      <c r="D29" s="5"/>
      <c r="E29" s="5"/>
      <c r="F29" s="5"/>
      <c r="G29" s="5"/>
      <c r="H29" s="5"/>
      <c r="I29" s="5"/>
      <c r="J29" s="5"/>
      <c r="K29" s="5"/>
      <c r="L29" s="7"/>
      <c r="M29" s="12" t="str">
        <f>IF(C29="","",IF(AND(J29="Confirmed",F29=""),"Evidence missing",IF(AND(H29="Waived",I29=""),"Waiver ID missing",IF(AND(J29="Rejected",K29=""),"Comment required",IF(AND(J29="Confirmed",OR(H29="Fail",H29="Open",H29="")),"Confirmed without a passing status",IF(AND(J29="Confirmed",L29=""),"Date missing",""))))))</f>
        <v/>
      </c>
    </row>
    <row r="30" spans="1:13" x14ac:dyDescent="0.25">
      <c r="A30" s="10"/>
      <c r="B30" s="5"/>
      <c r="C30" s="5"/>
      <c r="D30" s="5"/>
      <c r="E30" s="5"/>
      <c r="F30" s="5"/>
      <c r="G30" s="5"/>
      <c r="H30" s="5"/>
      <c r="I30" s="5"/>
      <c r="J30" s="5"/>
      <c r="K30" s="5"/>
      <c r="L30" s="7"/>
      <c r="M30" s="12" t="str">
        <f>IF(C30="","",IF(AND(J30="Confirmed",F30=""),"Evidence missing",IF(AND(H30="Waived",I30=""),"Waiver ID missing",IF(AND(J30="Rejected",K30=""),"Comment required",IF(AND(J30="Confirmed",OR(H30="Fail",H30="Open",H30="")),"Confirmed without a passing status",IF(AND(J30="Confirmed",L30=""),"Date missing",""))))))</f>
        <v/>
      </c>
    </row>
    <row r="31" spans="1:13" x14ac:dyDescent="0.25">
      <c r="A31" s="10"/>
      <c r="B31" s="5"/>
      <c r="C31" s="5"/>
      <c r="D31" s="5"/>
      <c r="E31" s="5"/>
      <c r="F31" s="5"/>
      <c r="G31" s="5"/>
      <c r="H31" s="5"/>
      <c r="I31" s="5"/>
      <c r="J31" s="5"/>
      <c r="K31" s="5"/>
      <c r="L31" s="7"/>
      <c r="M31" s="12" t="str">
        <f>IF(C31="","",IF(AND(J31="Confirmed",F31=""),"Evidence missing",IF(AND(H31="Waived",I31=""),"Waiver ID missing",IF(AND(J31="Rejected",K31=""),"Comment required",IF(AND(J31="Confirmed",OR(H31="Fail",H31="Open",H31="")),"Confirmed without a passing status",IF(AND(J31="Confirmed",L31=""),"Date missing",""))))))</f>
        <v/>
      </c>
    </row>
    <row r="32" spans="1:13" x14ac:dyDescent="0.25">
      <c r="A32" s="10"/>
      <c r="B32" s="5"/>
      <c r="C32" s="5"/>
      <c r="D32" s="5"/>
      <c r="E32" s="5"/>
      <c r="F32" s="5"/>
      <c r="G32" s="5"/>
      <c r="H32" s="5"/>
      <c r="I32" s="5"/>
      <c r="J32" s="5"/>
      <c r="K32" s="5"/>
      <c r="L32" s="7"/>
      <c r="M32" s="12" t="str">
        <f>IF(C32="","",IF(AND(J32="Confirmed",F32=""),"Evidence missing",IF(AND(H32="Waived",I32=""),"Waiver ID missing",IF(AND(J32="Rejected",K32=""),"Comment required",IF(AND(J32="Confirmed",OR(H32="Fail",H32="Open",H32="")),"Confirmed without a passing status",IF(AND(J32="Confirmed",L32=""),"Date missing",""))))))</f>
        <v/>
      </c>
    </row>
    <row r="33" spans="1:13" x14ac:dyDescent="0.25">
      <c r="A33" s="10"/>
      <c r="B33" s="5"/>
      <c r="C33" s="5"/>
      <c r="D33" s="5"/>
      <c r="E33" s="5"/>
      <c r="F33" s="5"/>
      <c r="G33" s="5"/>
      <c r="H33" s="5"/>
      <c r="I33" s="5"/>
      <c r="J33" s="5"/>
      <c r="K33" s="5"/>
      <c r="L33" s="7"/>
      <c r="M33" s="12" t="str">
        <f>IF(C33="","",IF(AND(J33="Confirmed",F33=""),"Evidence missing",IF(AND(H33="Waived",I33=""),"Waiver ID missing",IF(AND(J33="Rejected",K33=""),"Comment required",IF(AND(J33="Confirmed",OR(H33="Fail",H33="Open",H33="")),"Confirmed without a passing status",IF(AND(J33="Confirmed",L33=""),"Date missing",""))))))</f>
        <v/>
      </c>
    </row>
    <row r="34" spans="1:13" x14ac:dyDescent="0.25">
      <c r="A34" s="10"/>
      <c r="B34" s="5"/>
      <c r="C34" s="5"/>
      <c r="D34" s="5"/>
      <c r="E34" s="5"/>
      <c r="F34" s="5"/>
      <c r="G34" s="5"/>
      <c r="H34" s="5"/>
      <c r="I34" s="5"/>
      <c r="J34" s="5"/>
      <c r="K34" s="5"/>
      <c r="L34" s="7"/>
      <c r="M34" s="12" t="str">
        <f>IF(C34="","",IF(AND(J34="Confirmed",F34=""),"Evidence missing",IF(AND(H34="Waived",I34=""),"Waiver ID missing",IF(AND(J34="Rejected",K34=""),"Comment required",IF(AND(J34="Confirmed",OR(H34="Fail",H34="Open",H34="")),"Confirmed without a passing status",IF(AND(J34="Confirmed",L34=""),"Date missing",""))))))</f>
        <v/>
      </c>
    </row>
    <row r="35" spans="1:13" x14ac:dyDescent="0.25">
      <c r="A35" s="10"/>
      <c r="B35" s="5"/>
      <c r="C35" s="5"/>
      <c r="D35" s="5"/>
      <c r="E35" s="5"/>
      <c r="F35" s="5"/>
      <c r="G35" s="5"/>
      <c r="H35" s="5"/>
      <c r="I35" s="5"/>
      <c r="J35" s="5"/>
      <c r="K35" s="5"/>
      <c r="L35" s="7"/>
      <c r="M35" s="12" t="str">
        <f>IF(C35="","",IF(AND(J35="Confirmed",F35=""),"Evidence missing",IF(AND(H35="Waived",I35=""),"Waiver ID missing",IF(AND(J35="Rejected",K35=""),"Comment required",IF(AND(J35="Confirmed",OR(H35="Fail",H35="Open",H35="")),"Confirmed without a passing status",IF(AND(J35="Confirmed",L35=""),"Date missing",""))))))</f>
        <v/>
      </c>
    </row>
    <row r="36" spans="1:13" x14ac:dyDescent="0.25">
      <c r="A36" s="10"/>
      <c r="B36" s="5"/>
      <c r="C36" s="5"/>
      <c r="D36" s="5"/>
      <c r="E36" s="5"/>
      <c r="F36" s="5"/>
      <c r="G36" s="5"/>
      <c r="H36" s="5"/>
      <c r="I36" s="5"/>
      <c r="J36" s="5"/>
      <c r="K36" s="5"/>
      <c r="L36" s="7"/>
      <c r="M36" s="12" t="str">
        <f>IF(C36="","",IF(AND(J36="Confirmed",F36=""),"Evidence missing",IF(AND(H36="Waived",I36=""),"Waiver ID missing",IF(AND(J36="Rejected",K36=""),"Comment required",IF(AND(J36="Confirmed",OR(H36="Fail",H36="Open",H36="")),"Confirmed without a passing status",IF(AND(J36="Confirmed",L36=""),"Date missing",""))))))</f>
        <v/>
      </c>
    </row>
  </sheetData>
  <autoFilter ref="A3:M36"/>
  <mergeCells count="2">
    <mergeCell ref="A1:M1"/>
    <mergeCell ref="A2:M2"/>
  </mergeCells>
  <conditionalFormatting sqref="H4:H36">
    <cfRule type="cellIs" dxfId="2" priority="1" operator="equal">
      <formula>"Pass"</formula>
    </cfRule>
    <cfRule type="cellIs" dxfId="3" priority="2" operator="equal">
      <formula>"Fail"</formula>
    </cfRule>
    <cfRule type="cellIs" dxfId="4" priority="3" operator="equal">
      <formula>"Waived"</formula>
    </cfRule>
  </conditionalFormatting>
  <conditionalFormatting sqref="J4:J36">
    <cfRule type="cellIs" dxfId="5" priority="4" operator="equal">
      <formula>"Confirmed"</formula>
    </cfRule>
    <cfRule type="cellIs" dxfId="6" priority="5" operator="equal">
      <formula>"Rejected"</formula>
    </cfRule>
  </conditionalFormatting>
  <dataValidations count="6">
    <dataValidation type="list" allowBlank="1" showErrorMessage="1" errorTitle="Pick from the list" error="One of: Pass, Fail, Waived, N/A, Open" sqref="H10:H36">
      <formula1>"Pass,Fail,Waived,N/A,Open"</formula1>
    </dataValidation>
    <dataValidation type="list" allowBlank="1" showErrorMessage="1" errorTitle="Pick from the list" error="One of: Pass, Fail, Waived, N/A, Open" sqref="H4:H36">
      <formula1>"Pass,Fail,Waived,N/A,Open"</formula1>
    </dataValidation>
    <dataValidation type="list" allowBlank="1" showErrorMessage="1" errorTitle="Pick from the list" error="One of: Pending, Confirmed, Rejected" sqref="J10:J36">
      <formula1>"Pending,Confirmed,Rejected"</formula1>
    </dataValidation>
    <dataValidation type="list" allowBlank="1" showErrorMessage="1" errorTitle="Pick from the list" error="One of: Pending, Confirmed, Rejected" sqref="J4:J36">
      <formula1>"Pending,Confirmed,Rejected"</formula1>
    </dataValidation>
    <dataValidation type="date" operator="greaterThan" allowBlank="1" showErrorMessage="1" error="A date, e.g. 2027-03-15" sqref="L10:L36">
      <formula1>43831</formula1>
    </dataValidation>
    <dataValidation type="date" operator="greaterThan" allowBlank="1" showErrorMessage="1" error="A date, e.g. 2027-03-15" sqref="L4:L36">
      <formula1>43831</formula1>
    </dataValidation>
  </dataValidation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46" customWidth="1"/>
    <col min="3" max="3" width="13" customWidth="1"/>
    <col min="4" max="4" width="11" customWidth="1"/>
    <col min="5" max="5" width="16" customWidth="1"/>
    <col min="6" max="6" width="12" customWidth="1"/>
    <col min="7" max="7" width="10" customWidth="1"/>
    <col min="8" max="8" width="36" customWidth="1"/>
  </cols>
  <sheetData>
    <row r="1" spans="1:8" x14ac:dyDescent="0.25">
      <c r="A1" s="1" t="s">
        <v>121</v>
      </c>
      <c r="B1" s="1"/>
      <c r="C1" s="1"/>
      <c r="D1" s="1"/>
      <c r="E1" s="1"/>
      <c r="F1" s="1"/>
      <c r="G1" s="1"/>
      <c r="H1" s="1"/>
    </row>
    <row r="2" ht="28" customHeight="1" spans="1:8" x14ac:dyDescent="0.25">
      <c r="A2" s="2" t="s">
        <v>122</v>
      </c>
      <c r="B2" s="2"/>
      <c r="C2" s="2"/>
      <c r="D2" s="2"/>
      <c r="E2" s="2"/>
      <c r="F2" s="2"/>
      <c r="G2" s="2"/>
      <c r="H2" s="2"/>
    </row>
    <row r="3" ht="30" customHeight="1" spans="1:8" x14ac:dyDescent="0.25">
      <c r="A3" s="4" t="s">
        <v>123</v>
      </c>
      <c r="B3" s="4" t="s">
        <v>124</v>
      </c>
      <c r="C3" s="4" t="s">
        <v>125</v>
      </c>
      <c r="D3" s="4" t="s">
        <v>126</v>
      </c>
      <c r="E3" s="4" t="s">
        <v>127</v>
      </c>
      <c r="F3" s="4" t="s">
        <v>128</v>
      </c>
      <c r="G3" s="4" t="s">
        <v>129</v>
      </c>
      <c r="H3" s="4" t="s">
        <v>130</v>
      </c>
    </row>
    <row r="4" spans="1:8" x14ac:dyDescent="0.25">
      <c r="A4" s="5"/>
      <c r="B4" s="5"/>
      <c r="C4" s="5"/>
      <c r="D4" s="5"/>
      <c r="E4" s="5"/>
      <c r="F4" s="7"/>
      <c r="G4" s="5"/>
      <c r="H4" s="5"/>
    </row>
    <row r="5" spans="1:8" x14ac:dyDescent="0.25">
      <c r="A5" s="5"/>
      <c r="B5" s="5"/>
      <c r="C5" s="5"/>
      <c r="D5" s="5"/>
      <c r="E5" s="5"/>
      <c r="F5" s="7"/>
      <c r="G5" s="5"/>
      <c r="H5" s="5"/>
    </row>
    <row r="6" spans="1:8" x14ac:dyDescent="0.25">
      <c r="A6" s="5"/>
      <c r="B6" s="5"/>
      <c r="C6" s="5"/>
      <c r="D6" s="5"/>
      <c r="E6" s="5"/>
      <c r="F6" s="7"/>
      <c r="G6" s="5"/>
      <c r="H6" s="5"/>
    </row>
    <row r="7" spans="1:8" x14ac:dyDescent="0.25">
      <c r="A7" s="5"/>
      <c r="B7" s="5"/>
      <c r="C7" s="5"/>
      <c r="D7" s="5"/>
      <c r="E7" s="5"/>
      <c r="F7" s="7"/>
      <c r="G7" s="5"/>
      <c r="H7" s="5"/>
    </row>
    <row r="8" spans="1:8" x14ac:dyDescent="0.25">
      <c r="A8" s="5"/>
      <c r="B8" s="5"/>
      <c r="C8" s="5"/>
      <c r="D8" s="5"/>
      <c r="E8" s="5"/>
      <c r="F8" s="7"/>
      <c r="G8" s="5"/>
      <c r="H8" s="5"/>
    </row>
    <row r="9" spans="1:8" x14ac:dyDescent="0.25">
      <c r="A9" s="5"/>
      <c r="B9" s="5"/>
      <c r="C9" s="5"/>
      <c r="D9" s="5"/>
      <c r="E9" s="5"/>
      <c r="F9" s="7"/>
      <c r="G9" s="5"/>
      <c r="H9" s="5"/>
    </row>
    <row r="10" spans="1:8" x14ac:dyDescent="0.25">
      <c r="A10" s="5"/>
      <c r="B10" s="5"/>
      <c r="C10" s="5"/>
      <c r="D10" s="5"/>
      <c r="E10" s="5"/>
      <c r="F10" s="7"/>
      <c r="G10" s="5"/>
      <c r="H10" s="5"/>
    </row>
    <row r="11" spans="1:8" x14ac:dyDescent="0.25">
      <c r="A11" s="5"/>
      <c r="B11" s="5"/>
      <c r="C11" s="5"/>
      <c r="D11" s="5"/>
      <c r="E11" s="5"/>
      <c r="F11" s="7"/>
      <c r="G11" s="5"/>
      <c r="H11" s="5"/>
    </row>
    <row r="12" spans="1:8" x14ac:dyDescent="0.25">
      <c r="A12" s="5"/>
      <c r="B12" s="5"/>
      <c r="C12" s="5"/>
      <c r="D12" s="5"/>
      <c r="E12" s="5"/>
      <c r="F12" s="7"/>
      <c r="G12" s="5"/>
      <c r="H12" s="5"/>
    </row>
    <row r="13" spans="1:8" x14ac:dyDescent="0.25">
      <c r="A13" s="5"/>
      <c r="B13" s="5"/>
      <c r="C13" s="5"/>
      <c r="D13" s="5"/>
      <c r="E13" s="5"/>
      <c r="F13" s="7"/>
      <c r="G13" s="5"/>
      <c r="H13" s="5"/>
    </row>
    <row r="14" spans="1:8" x14ac:dyDescent="0.25">
      <c r="A14" s="5"/>
      <c r="B14" s="5"/>
      <c r="C14" s="5"/>
      <c r="D14" s="5"/>
      <c r="E14" s="5"/>
      <c r="F14" s="7"/>
      <c r="G14" s="5"/>
      <c r="H14" s="5"/>
    </row>
    <row r="15" spans="1:8" x14ac:dyDescent="0.25">
      <c r="A15" s="5"/>
      <c r="B15" s="5"/>
      <c r="C15" s="5"/>
      <c r="D15" s="5"/>
      <c r="E15" s="5"/>
      <c r="F15" s="7"/>
      <c r="G15" s="5"/>
      <c r="H15" s="5"/>
    </row>
    <row r="16" spans="1:8" x14ac:dyDescent="0.25">
      <c r="A16" s="5"/>
      <c r="B16" s="5"/>
      <c r="C16" s="5"/>
      <c r="D16" s="5"/>
      <c r="E16" s="5"/>
      <c r="F16" s="7"/>
      <c r="G16" s="5"/>
      <c r="H16" s="5"/>
    </row>
    <row r="17" spans="1:8" x14ac:dyDescent="0.25">
      <c r="A17" s="5"/>
      <c r="B17" s="5"/>
      <c r="C17" s="5"/>
      <c r="D17" s="5"/>
      <c r="E17" s="5"/>
      <c r="F17" s="7"/>
      <c r="G17" s="5"/>
      <c r="H17" s="5"/>
    </row>
    <row r="18" spans="1:8" x14ac:dyDescent="0.25">
      <c r="A18" s="5"/>
      <c r="B18" s="5"/>
      <c r="C18" s="5"/>
      <c r="D18" s="5"/>
      <c r="E18" s="5"/>
      <c r="F18" s="7"/>
      <c r="G18" s="5"/>
      <c r="H18" s="5"/>
    </row>
    <row r="19" spans="1:8" x14ac:dyDescent="0.25">
      <c r="A19" s="5"/>
      <c r="B19" s="5"/>
      <c r="C19" s="5"/>
      <c r="D19" s="5"/>
      <c r="E19" s="5"/>
      <c r="F19" s="7"/>
      <c r="G19" s="5"/>
      <c r="H19" s="5"/>
    </row>
    <row r="20" spans="1:8" x14ac:dyDescent="0.25">
      <c r="A20" s="5"/>
      <c r="B20" s="5"/>
      <c r="C20" s="5"/>
      <c r="D20" s="5"/>
      <c r="E20" s="5"/>
      <c r="F20" s="7"/>
      <c r="G20" s="5"/>
      <c r="H20" s="5"/>
    </row>
    <row r="21" spans="1:8" x14ac:dyDescent="0.25">
      <c r="A21" s="5"/>
      <c r="B21" s="5"/>
      <c r="C21" s="5"/>
      <c r="D21" s="5"/>
      <c r="E21" s="5"/>
      <c r="F21" s="7"/>
      <c r="G21" s="5"/>
      <c r="H21" s="5"/>
    </row>
    <row r="22" spans="1:8" x14ac:dyDescent="0.25">
      <c r="A22" s="5"/>
      <c r="B22" s="5"/>
      <c r="C22" s="5"/>
      <c r="D22" s="5"/>
      <c r="E22" s="5"/>
      <c r="F22" s="7"/>
      <c r="G22" s="5"/>
      <c r="H22" s="5"/>
    </row>
    <row r="23" spans="1:8" x14ac:dyDescent="0.25">
      <c r="A23" s="5"/>
      <c r="B23" s="5"/>
      <c r="C23" s="5"/>
      <c r="D23" s="5"/>
      <c r="E23" s="5"/>
      <c r="F23" s="7"/>
      <c r="G23" s="5"/>
      <c r="H23" s="5"/>
    </row>
    <row r="24" spans="1:8" x14ac:dyDescent="0.25">
      <c r="A24" s="5"/>
      <c r="B24" s="5"/>
      <c r="C24" s="5"/>
      <c r="D24" s="5"/>
      <c r="E24" s="5"/>
      <c r="F24" s="7"/>
      <c r="G24" s="5"/>
      <c r="H24" s="5"/>
    </row>
    <row r="25" spans="1:8" x14ac:dyDescent="0.25">
      <c r="A25" s="5"/>
      <c r="B25" s="5"/>
      <c r="C25" s="5"/>
      <c r="D25" s="5"/>
      <c r="E25" s="5"/>
      <c r="F25" s="7"/>
      <c r="G25" s="5"/>
      <c r="H25" s="5"/>
    </row>
    <row r="26" spans="1:8" x14ac:dyDescent="0.25">
      <c r="A26" s="5"/>
      <c r="B26" s="5"/>
      <c r="C26" s="5"/>
      <c r="D26" s="5"/>
      <c r="E26" s="5"/>
      <c r="F26" s="7"/>
      <c r="G26" s="5"/>
      <c r="H26" s="5"/>
    </row>
    <row r="27" spans="1:8" x14ac:dyDescent="0.25">
      <c r="A27" s="5"/>
      <c r="B27" s="5"/>
      <c r="C27" s="5"/>
      <c r="D27" s="5"/>
      <c r="E27" s="5"/>
      <c r="F27" s="7"/>
      <c r="G27" s="5"/>
      <c r="H27" s="5"/>
    </row>
    <row r="28" spans="1:8" x14ac:dyDescent="0.25">
      <c r="A28" s="5"/>
      <c r="B28" s="5"/>
      <c r="C28" s="5"/>
      <c r="D28" s="5"/>
      <c r="E28" s="5"/>
      <c r="F28" s="7"/>
      <c r="G28" s="5"/>
      <c r="H28" s="5"/>
    </row>
    <row r="29" spans="1:8" x14ac:dyDescent="0.25">
      <c r="A29" s="5"/>
      <c r="B29" s="5"/>
      <c r="C29" s="5"/>
      <c r="D29" s="5"/>
      <c r="E29" s="5"/>
      <c r="F29" s="7"/>
      <c r="G29" s="5"/>
      <c r="H29" s="5"/>
    </row>
    <row r="30" spans="1:8" x14ac:dyDescent="0.25">
      <c r="A30" s="5"/>
      <c r="B30" s="5"/>
      <c r="C30" s="5"/>
      <c r="D30" s="5"/>
      <c r="E30" s="5"/>
      <c r="F30" s="7"/>
      <c r="G30" s="5"/>
      <c r="H30" s="5"/>
    </row>
    <row r="31" spans="1:8" x14ac:dyDescent="0.25">
      <c r="A31" s="5"/>
      <c r="B31" s="5"/>
      <c r="C31" s="5"/>
      <c r="D31" s="5"/>
      <c r="E31" s="5"/>
      <c r="F31" s="7"/>
      <c r="G31" s="5"/>
      <c r="H31" s="5"/>
    </row>
    <row r="32" spans="1:8" x14ac:dyDescent="0.25">
      <c r="A32" s="5"/>
      <c r="B32" s="5"/>
      <c r="C32" s="5"/>
      <c r="D32" s="5"/>
      <c r="E32" s="5"/>
      <c r="F32" s="7"/>
      <c r="G32" s="5"/>
      <c r="H32" s="5"/>
    </row>
    <row r="33" spans="1:8" x14ac:dyDescent="0.25">
      <c r="A33" s="5"/>
      <c r="B33" s="5"/>
      <c r="C33" s="5"/>
      <c r="D33" s="5"/>
      <c r="E33" s="5"/>
      <c r="F33" s="7"/>
      <c r="G33" s="5"/>
      <c r="H33" s="5"/>
    </row>
    <row r="34" spans="1:8" x14ac:dyDescent="0.25">
      <c r="A34" s="5"/>
      <c r="B34" s="5"/>
      <c r="C34" s="5"/>
      <c r="D34" s="5"/>
      <c r="E34" s="5"/>
      <c r="F34" s="7"/>
      <c r="G34" s="5"/>
      <c r="H34" s="5"/>
    </row>
    <row r="35" spans="1:8" x14ac:dyDescent="0.25">
      <c r="A35" s="5"/>
      <c r="B35" s="5"/>
      <c r="C35" s="5"/>
      <c r="D35" s="5"/>
      <c r="E35" s="5"/>
      <c r="F35" s="7"/>
      <c r="G35" s="5"/>
      <c r="H35" s="5"/>
    </row>
    <row r="36" spans="1:8" x14ac:dyDescent="0.25">
      <c r="A36" s="5"/>
      <c r="B36" s="5"/>
      <c r="C36" s="5"/>
      <c r="D36" s="5"/>
      <c r="E36" s="5"/>
      <c r="F36" s="7"/>
      <c r="G36" s="5"/>
      <c r="H36" s="5"/>
    </row>
    <row r="37" spans="1:8" x14ac:dyDescent="0.25">
      <c r="A37" s="5"/>
      <c r="B37" s="5"/>
      <c r="C37" s="5"/>
      <c r="D37" s="5"/>
      <c r="E37" s="5"/>
      <c r="F37" s="7"/>
      <c r="G37" s="5"/>
      <c r="H37" s="5"/>
    </row>
    <row r="38" spans="1:8" x14ac:dyDescent="0.25">
      <c r="A38" s="5"/>
      <c r="B38" s="5"/>
      <c r="C38" s="5"/>
      <c r="D38" s="5"/>
      <c r="E38" s="5"/>
      <c r="F38" s="7"/>
      <c r="G38" s="5"/>
      <c r="H38" s="5"/>
    </row>
    <row r="39" spans="1:8" x14ac:dyDescent="0.25">
      <c r="A39" s="5"/>
      <c r="B39" s="5"/>
      <c r="C39" s="5"/>
      <c r="D39" s="5"/>
      <c r="E39" s="5"/>
      <c r="F39" s="7"/>
      <c r="G39" s="5"/>
      <c r="H39" s="5"/>
    </row>
    <row r="40" spans="1:8" x14ac:dyDescent="0.25">
      <c r="A40" s="5"/>
      <c r="B40" s="5"/>
      <c r="C40" s="5"/>
      <c r="D40" s="5"/>
      <c r="E40" s="5"/>
      <c r="F40" s="7"/>
      <c r="G40" s="5"/>
      <c r="H40" s="5"/>
    </row>
    <row r="41" spans="1:8" x14ac:dyDescent="0.25">
      <c r="A41" s="5"/>
      <c r="B41" s="5"/>
      <c r="C41" s="5"/>
      <c r="D41" s="5"/>
      <c r="E41" s="5"/>
      <c r="F41" s="7"/>
      <c r="G41" s="5"/>
      <c r="H41" s="5"/>
    </row>
    <row r="42" spans="1:8" x14ac:dyDescent="0.25">
      <c r="A42" s="5"/>
      <c r="B42" s="5"/>
      <c r="C42" s="5"/>
      <c r="D42" s="5"/>
      <c r="E42" s="5"/>
      <c r="F42" s="7"/>
      <c r="G42" s="5"/>
      <c r="H42" s="5"/>
    </row>
    <row r="43" spans="1:8" x14ac:dyDescent="0.25">
      <c r="A43" s="5"/>
      <c r="B43" s="5"/>
      <c r="C43" s="5"/>
      <c r="D43" s="5"/>
      <c r="E43" s="5"/>
      <c r="F43" s="7"/>
      <c r="G43" s="5"/>
      <c r="H43" s="5"/>
    </row>
  </sheetData>
  <mergeCells count="2">
    <mergeCell ref="A1:H1"/>
    <mergeCell ref="A2:H2"/>
  </mergeCells>
  <dataValidations count="6">
    <dataValidation type="list" allowBlank="1" showErrorMessage="1" errorTitle="Pick from the list" error="One of: Critical, High, Medium, Low" sqref="D10:D43">
      <formula1>"Critical,High,Medium,Low"</formula1>
    </dataValidation>
    <dataValidation type="list" allowBlank="1" showErrorMessage="1" errorTitle="Pick from the list" error="One of: Critical, High, Medium, Low" sqref="D4:D43">
      <formula1>"Critical,High,Medium,Low"</formula1>
    </dataValidation>
    <dataValidation type="date" operator="greaterThan" allowBlank="1" showErrorMessage="1" error="A date, e.g. 2027-03-15" sqref="F10:F43">
      <formula1>43831</formula1>
    </dataValidation>
    <dataValidation type="date" operator="greaterThan" allowBlank="1" showErrorMessage="1" error="A date, e.g. 2027-03-15" sqref="F4:F43">
      <formula1>43831</formula1>
    </dataValidation>
    <dataValidation type="list" allowBlank="1" showErrorMessage="1" errorTitle="Pick from the list" error="One of: Open, Closed" sqref="G10:G43">
      <formula1>"Open,Closed"</formula1>
    </dataValidation>
    <dataValidation type="list" allowBlank="1" showErrorMessage="1" errorTitle="Pick from the list" error="One of: Open, Closed" sqref="G4:G43">
      <formula1>"Open,Closed"</formula1>
    </dataValidation>
  </dataValidation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3"/>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13" customWidth="1"/>
    <col min="3" max="3" width="30" customWidth="1"/>
    <col min="4" max="4" width="40" customWidth="1"/>
    <col min="5" max="5" width="30" customWidth="1"/>
    <col min="6" max="6" width="26" customWidth="1"/>
    <col min="7" max="7" width="18" customWidth="1"/>
    <col min="8" max="8" width="12" customWidth="1"/>
  </cols>
  <sheetData>
    <row r="1" spans="1:8" x14ac:dyDescent="0.25">
      <c r="A1" s="1" t="s">
        <v>131</v>
      </c>
      <c r="B1" s="1"/>
      <c r="C1" s="1"/>
      <c r="D1" s="1"/>
      <c r="E1" s="1"/>
      <c r="F1" s="1"/>
      <c r="G1" s="1"/>
      <c r="H1" s="1"/>
    </row>
    <row r="2" ht="28" customHeight="1" spans="1:8" x14ac:dyDescent="0.25">
      <c r="A2" s="2" t="s">
        <v>132</v>
      </c>
      <c r="B2" s="2"/>
      <c r="C2" s="2"/>
      <c r="D2" s="2"/>
      <c r="E2" s="2"/>
      <c r="F2" s="2"/>
      <c r="G2" s="2"/>
      <c r="H2" s="2"/>
    </row>
    <row r="3" ht="30" customHeight="1" spans="1:8" x14ac:dyDescent="0.25">
      <c r="A3" s="4" t="s">
        <v>54</v>
      </c>
      <c r="B3" s="4" t="s">
        <v>125</v>
      </c>
      <c r="C3" s="4" t="s">
        <v>133</v>
      </c>
      <c r="D3" s="4" t="s">
        <v>134</v>
      </c>
      <c r="E3" s="4" t="s">
        <v>135</v>
      </c>
      <c r="F3" s="4" t="s">
        <v>136</v>
      </c>
      <c r="G3" s="4" t="s">
        <v>137</v>
      </c>
      <c r="H3" s="4" t="s">
        <v>138</v>
      </c>
    </row>
    <row r="4" spans="1:8" x14ac:dyDescent="0.25">
      <c r="A4" s="5"/>
      <c r="B4" s="5"/>
      <c r="C4" s="5"/>
      <c r="D4" s="5"/>
      <c r="E4" s="5"/>
      <c r="F4" s="5"/>
      <c r="G4" s="5"/>
      <c r="H4" s="7"/>
    </row>
    <row r="5" spans="1:8" x14ac:dyDescent="0.25">
      <c r="A5" s="5"/>
      <c r="B5" s="5"/>
      <c r="C5" s="5"/>
      <c r="D5" s="5"/>
      <c r="E5" s="5"/>
      <c r="F5" s="5"/>
      <c r="G5" s="5"/>
      <c r="H5" s="7"/>
    </row>
    <row r="6" spans="1:8" x14ac:dyDescent="0.25">
      <c r="A6" s="5"/>
      <c r="B6" s="5"/>
      <c r="C6" s="5"/>
      <c r="D6" s="5"/>
      <c r="E6" s="5"/>
      <c r="F6" s="5"/>
      <c r="G6" s="5"/>
      <c r="H6" s="7"/>
    </row>
    <row r="7" spans="1:8" x14ac:dyDescent="0.25">
      <c r="A7" s="5"/>
      <c r="B7" s="5"/>
      <c r="C7" s="5"/>
      <c r="D7" s="5"/>
      <c r="E7" s="5"/>
      <c r="F7" s="5"/>
      <c r="G7" s="5"/>
      <c r="H7" s="7"/>
    </row>
    <row r="8" spans="1:8" x14ac:dyDescent="0.25">
      <c r="A8" s="5"/>
      <c r="B8" s="5"/>
      <c r="C8" s="5"/>
      <c r="D8" s="5"/>
      <c r="E8" s="5"/>
      <c r="F8" s="5"/>
      <c r="G8" s="5"/>
      <c r="H8" s="7"/>
    </row>
    <row r="9" spans="1:8" x14ac:dyDescent="0.25">
      <c r="A9" s="5"/>
      <c r="B9" s="5"/>
      <c r="C9" s="5"/>
      <c r="D9" s="5"/>
      <c r="E9" s="5"/>
      <c r="F9" s="5"/>
      <c r="G9" s="5"/>
      <c r="H9" s="7"/>
    </row>
    <row r="10" spans="1:8" x14ac:dyDescent="0.25">
      <c r="A10" s="5"/>
      <c r="B10" s="5"/>
      <c r="C10" s="5"/>
      <c r="D10" s="5"/>
      <c r="E10" s="5"/>
      <c r="F10" s="5"/>
      <c r="G10" s="5"/>
      <c r="H10" s="7"/>
    </row>
    <row r="11" spans="1:8" x14ac:dyDescent="0.25">
      <c r="A11" s="5"/>
      <c r="B11" s="5"/>
      <c r="C11" s="5"/>
      <c r="D11" s="5"/>
      <c r="E11" s="5"/>
      <c r="F11" s="5"/>
      <c r="G11" s="5"/>
      <c r="H11" s="7"/>
    </row>
    <row r="12" spans="1:8" x14ac:dyDescent="0.25">
      <c r="A12" s="5"/>
      <c r="B12" s="5"/>
      <c r="C12" s="5"/>
      <c r="D12" s="5"/>
      <c r="E12" s="5"/>
      <c r="F12" s="5"/>
      <c r="G12" s="5"/>
      <c r="H12" s="7"/>
    </row>
    <row r="13" spans="1:8" x14ac:dyDescent="0.25">
      <c r="A13" s="5"/>
      <c r="B13" s="5"/>
      <c r="C13" s="5"/>
      <c r="D13" s="5"/>
      <c r="E13" s="5"/>
      <c r="F13" s="5"/>
      <c r="G13" s="5"/>
      <c r="H13" s="7"/>
    </row>
    <row r="14" spans="1:8" x14ac:dyDescent="0.25">
      <c r="A14" s="5"/>
      <c r="B14" s="5"/>
      <c r="C14" s="5"/>
      <c r="D14" s="5"/>
      <c r="E14" s="5"/>
      <c r="F14" s="5"/>
      <c r="G14" s="5"/>
      <c r="H14" s="7"/>
    </row>
    <row r="15" spans="1:8" x14ac:dyDescent="0.25">
      <c r="A15" s="5"/>
      <c r="B15" s="5"/>
      <c r="C15" s="5"/>
      <c r="D15" s="5"/>
      <c r="E15" s="5"/>
      <c r="F15" s="5"/>
      <c r="G15" s="5"/>
      <c r="H15" s="7"/>
    </row>
    <row r="16" spans="1:8" x14ac:dyDescent="0.25">
      <c r="A16" s="5"/>
      <c r="B16" s="5"/>
      <c r="C16" s="5"/>
      <c r="D16" s="5"/>
      <c r="E16" s="5"/>
      <c r="F16" s="5"/>
      <c r="G16" s="5"/>
      <c r="H16" s="7"/>
    </row>
    <row r="17" spans="1:8" x14ac:dyDescent="0.25">
      <c r="A17" s="5"/>
      <c r="B17" s="5"/>
      <c r="C17" s="5"/>
      <c r="D17" s="5"/>
      <c r="E17" s="5"/>
      <c r="F17" s="5"/>
      <c r="G17" s="5"/>
      <c r="H17" s="7"/>
    </row>
    <row r="18" spans="1:8" x14ac:dyDescent="0.25">
      <c r="A18" s="5"/>
      <c r="B18" s="5"/>
      <c r="C18" s="5"/>
      <c r="D18" s="5"/>
      <c r="E18" s="5"/>
      <c r="F18" s="5"/>
      <c r="G18" s="5"/>
      <c r="H18" s="7"/>
    </row>
    <row r="19" spans="1:8" x14ac:dyDescent="0.25">
      <c r="A19" s="5"/>
      <c r="B19" s="5"/>
      <c r="C19" s="5"/>
      <c r="D19" s="5"/>
      <c r="E19" s="5"/>
      <c r="F19" s="5"/>
      <c r="G19" s="5"/>
      <c r="H19" s="7"/>
    </row>
    <row r="20" spans="1:8" x14ac:dyDescent="0.25">
      <c r="A20" s="5"/>
      <c r="B20" s="5"/>
      <c r="C20" s="5"/>
      <c r="D20" s="5"/>
      <c r="E20" s="5"/>
      <c r="F20" s="5"/>
      <c r="G20" s="5"/>
      <c r="H20" s="7"/>
    </row>
    <row r="21" spans="1:8" x14ac:dyDescent="0.25">
      <c r="A21" s="5"/>
      <c r="B21" s="5"/>
      <c r="C21" s="5"/>
      <c r="D21" s="5"/>
      <c r="E21" s="5"/>
      <c r="F21" s="5"/>
      <c r="G21" s="5"/>
      <c r="H21" s="7"/>
    </row>
    <row r="22" spans="1:8" x14ac:dyDescent="0.25">
      <c r="A22" s="5"/>
      <c r="B22" s="5"/>
      <c r="C22" s="5"/>
      <c r="D22" s="5"/>
      <c r="E22" s="5"/>
      <c r="F22" s="5"/>
      <c r="G22" s="5"/>
      <c r="H22" s="7"/>
    </row>
    <row r="23" spans="1:8" x14ac:dyDescent="0.25">
      <c r="A23" s="5"/>
      <c r="B23" s="5"/>
      <c r="C23" s="5"/>
      <c r="D23" s="5"/>
      <c r="E23" s="5"/>
      <c r="F23" s="5"/>
      <c r="G23" s="5"/>
      <c r="H23" s="7"/>
    </row>
    <row r="24" spans="1:8" x14ac:dyDescent="0.25">
      <c r="A24" s="5"/>
      <c r="B24" s="5"/>
      <c r="C24" s="5"/>
      <c r="D24" s="5"/>
      <c r="E24" s="5"/>
      <c r="F24" s="5"/>
      <c r="G24" s="5"/>
      <c r="H24" s="7"/>
    </row>
    <row r="25" spans="1:8" x14ac:dyDescent="0.25">
      <c r="A25" s="5"/>
      <c r="B25" s="5"/>
      <c r="C25" s="5"/>
      <c r="D25" s="5"/>
      <c r="E25" s="5"/>
      <c r="F25" s="5"/>
      <c r="G25" s="5"/>
      <c r="H25" s="7"/>
    </row>
    <row r="26" spans="1:8" x14ac:dyDescent="0.25">
      <c r="A26" s="5"/>
      <c r="B26" s="5"/>
      <c r="C26" s="5"/>
      <c r="D26" s="5"/>
      <c r="E26" s="5"/>
      <c r="F26" s="5"/>
      <c r="G26" s="5"/>
      <c r="H26" s="7"/>
    </row>
    <row r="27" spans="1:8" x14ac:dyDescent="0.25">
      <c r="A27" s="5"/>
      <c r="B27" s="5"/>
      <c r="C27" s="5"/>
      <c r="D27" s="5"/>
      <c r="E27" s="5"/>
      <c r="F27" s="5"/>
      <c r="G27" s="5"/>
      <c r="H27" s="7"/>
    </row>
    <row r="28" spans="1:8" x14ac:dyDescent="0.25">
      <c r="A28" s="5"/>
      <c r="B28" s="5"/>
      <c r="C28" s="5"/>
      <c r="D28" s="5"/>
      <c r="E28" s="5"/>
      <c r="F28" s="5"/>
      <c r="G28" s="5"/>
      <c r="H28" s="7"/>
    </row>
    <row r="29" spans="1:8" x14ac:dyDescent="0.25">
      <c r="A29" s="5"/>
      <c r="B29" s="5"/>
      <c r="C29" s="5"/>
      <c r="D29" s="5"/>
      <c r="E29" s="5"/>
      <c r="F29" s="5"/>
      <c r="G29" s="5"/>
      <c r="H29" s="7"/>
    </row>
    <row r="30" spans="1:8" x14ac:dyDescent="0.25">
      <c r="A30" s="5"/>
      <c r="B30" s="5"/>
      <c r="C30" s="5"/>
      <c r="D30" s="5"/>
      <c r="E30" s="5"/>
      <c r="F30" s="5"/>
      <c r="G30" s="5"/>
      <c r="H30" s="7"/>
    </row>
    <row r="31" spans="1:8" x14ac:dyDescent="0.25">
      <c r="A31" s="5"/>
      <c r="B31" s="5"/>
      <c r="C31" s="5"/>
      <c r="D31" s="5"/>
      <c r="E31" s="5"/>
      <c r="F31" s="5"/>
      <c r="G31" s="5"/>
      <c r="H31" s="7"/>
    </row>
    <row r="32" spans="1:8" x14ac:dyDescent="0.25">
      <c r="A32" s="5"/>
      <c r="B32" s="5"/>
      <c r="C32" s="5"/>
      <c r="D32" s="5"/>
      <c r="E32" s="5"/>
      <c r="F32" s="5"/>
      <c r="G32" s="5"/>
      <c r="H32" s="7"/>
    </row>
    <row r="33" spans="1:8" x14ac:dyDescent="0.25">
      <c r="A33" s="5"/>
      <c r="B33" s="5"/>
      <c r="C33" s="5"/>
      <c r="D33" s="5"/>
      <c r="E33" s="5"/>
      <c r="F33" s="5"/>
      <c r="G33" s="5"/>
      <c r="H33" s="7"/>
    </row>
  </sheetData>
  <mergeCells count="2">
    <mergeCell ref="A1:H1"/>
    <mergeCell ref="A2:H2"/>
  </mergeCells>
  <dataValidations count="2">
    <dataValidation type="date" operator="greaterThan" allowBlank="1" showErrorMessage="1" error="A date, e.g. 2027-03-15" sqref="H10:H33">
      <formula1>43831</formula1>
    </dataValidation>
    <dataValidation type="date" operator="greaterThan" allowBlank="1" showErrorMessage="1" error="A date, e.g. 2027-03-15" sqref="H4:H33">
      <formula1>43831</formula1>
    </dataValidation>
  </dataValidations>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3"/>
  <sheetViews>
    <sheetView workbookViewId="0">
      <pane ySplit="3" topLeftCell="A4" activePane="bottomLeft" state="frozen"/>
      <selection pane="bottomLeft"/>
    </sheetView>
  </sheetViews>
  <sheetFormatPr defaultRowHeight="15" outlineLevelRow="0" outlineLevelCol="0" x14ac:dyDescent="55"/>
  <cols>
    <col min="1" max="3" width="36" customWidth="1"/>
  </cols>
  <sheetData>
    <row r="1" spans="1:3" x14ac:dyDescent="0.25">
      <c r="A1" s="1" t="s">
        <v>139</v>
      </c>
      <c r="B1" s="1"/>
      <c r="C1" s="1"/>
    </row>
    <row r="2" ht="28" customHeight="1" spans="1:3" x14ac:dyDescent="0.25">
      <c r="A2" s="2" t="s">
        <v>140</v>
      </c>
      <c r="B2" s="2"/>
      <c r="C2" s="2"/>
    </row>
    <row r="3" ht="30" customHeight="1" spans="1:3" x14ac:dyDescent="0.25">
      <c r="A3" s="4" t="s">
        <v>141</v>
      </c>
      <c r="B3" s="4" t="s">
        <v>142</v>
      </c>
      <c r="C3" s="4" t="s">
        <v>127</v>
      </c>
    </row>
    <row r="4" spans="1:3" x14ac:dyDescent="0.25">
      <c r="A4" s="5"/>
      <c r="B4" s="5"/>
      <c r="C4" s="5"/>
    </row>
    <row r="5" spans="1:3" x14ac:dyDescent="0.25">
      <c r="A5" s="5"/>
      <c r="B5" s="5"/>
      <c r="C5" s="5"/>
    </row>
    <row r="6" spans="1:3" x14ac:dyDescent="0.25">
      <c r="A6" s="5"/>
      <c r="B6" s="5"/>
      <c r="C6" s="5"/>
    </row>
    <row r="7" spans="1:3" x14ac:dyDescent="0.25">
      <c r="A7" s="5"/>
      <c r="B7" s="5"/>
      <c r="C7" s="5"/>
    </row>
    <row r="8" spans="1:3" x14ac:dyDescent="0.25">
      <c r="A8" s="5"/>
      <c r="B8" s="5"/>
      <c r="C8" s="5"/>
    </row>
    <row r="9" spans="1:3" x14ac:dyDescent="0.25">
      <c r="A9" s="5"/>
      <c r="B9" s="5"/>
      <c r="C9" s="5"/>
    </row>
    <row r="10" spans="1:3" x14ac:dyDescent="0.25">
      <c r="A10" s="5"/>
      <c r="B10" s="5"/>
      <c r="C10" s="5"/>
    </row>
    <row r="11" spans="1:3" x14ac:dyDescent="0.25">
      <c r="A11" s="5"/>
      <c r="B11" s="5"/>
      <c r="C11" s="5"/>
    </row>
    <row r="12" spans="1:3" x14ac:dyDescent="0.25">
      <c r="A12" s="5"/>
      <c r="B12" s="5"/>
      <c r="C12" s="5"/>
    </row>
    <row r="13" spans="1:3" x14ac:dyDescent="0.25">
      <c r="A13" s="5"/>
      <c r="B13" s="5"/>
      <c r="C13" s="5"/>
    </row>
  </sheetData>
  <mergeCells count="2">
    <mergeCell ref="A1:C1"/>
    <mergeCell ref="A2:C2"/>
  </mergeCells>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6"/>
  <sheetViews>
    <sheetView workbookViewId="0">
      <pane ySplit="3" topLeftCell="A4" activePane="bottomLeft" state="frozen"/>
      <selection pane="bottomLeft"/>
    </sheetView>
  </sheetViews>
  <sheetFormatPr defaultRowHeight="15" outlineLevelRow="0" outlineLevelCol="0" x14ac:dyDescent="55"/>
  <cols>
    <col min="1" max="2" width="46" customWidth="1"/>
    <col min="3" max="3" width="20" customWidth="1"/>
    <col min="4" max="4" width="12" customWidth="1"/>
  </cols>
  <sheetData>
    <row r="1" spans="1:4" x14ac:dyDescent="0.25">
      <c r="A1" s="1" t="s">
        <v>143</v>
      </c>
      <c r="B1" s="1"/>
      <c r="C1" s="1"/>
      <c r="D1" s="1"/>
    </row>
    <row r="2" ht="28" customHeight="1" spans="1:4" x14ac:dyDescent="0.25">
      <c r="A2" s="2" t="s">
        <v>144</v>
      </c>
      <c r="B2" s="2"/>
      <c r="C2" s="2"/>
      <c r="D2" s="2"/>
    </row>
    <row r="3" ht="30" customHeight="1" spans="1:4" x14ac:dyDescent="0.25">
      <c r="A3" s="4" t="s">
        <v>145</v>
      </c>
      <c r="B3" s="4" t="s">
        <v>146</v>
      </c>
      <c r="C3" s="4" t="s">
        <v>147</v>
      </c>
      <c r="D3" s="4" t="s">
        <v>148</v>
      </c>
    </row>
    <row r="4" spans="1:4" x14ac:dyDescent="0.25">
      <c r="A4" s="6" t="s">
        <v>149</v>
      </c>
      <c r="B4" s="5"/>
      <c r="C4" s="5"/>
      <c r="D4" s="7"/>
    </row>
    <row r="5" spans="1:4" x14ac:dyDescent="0.25">
      <c r="A5" s="6" t="s">
        <v>150</v>
      </c>
      <c r="B5" s="5"/>
      <c r="C5" s="5"/>
      <c r="D5" s="7"/>
    </row>
    <row r="6" spans="1:4" x14ac:dyDescent="0.25">
      <c r="A6" s="6" t="s">
        <v>151</v>
      </c>
      <c r="B6" s="5"/>
      <c r="C6" s="5"/>
      <c r="D6" s="7"/>
    </row>
  </sheetData>
  <mergeCells count="2">
    <mergeCell ref="A1:D1"/>
    <mergeCell ref="A2:D2"/>
  </mergeCells>
  <dataValidations count="1">
    <dataValidation type="date" operator="greaterThan" allowBlank="1" showErrorMessage="1" error="A date, e.g. 2027-03-15" sqref="D4:D6">
      <formula1>43831</formula1>
    </dataValidation>
  </dataValidations>
  <pageSetup paperSize="9"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owGridLines="0"/>
  </sheetViews>
  <sheetFormatPr defaultRowHeight="15" outlineLevelRow="0" outlineLevelCol="0" x14ac:dyDescent="55"/>
  <cols>
    <col min="1" max="1" width="22" customWidth="1"/>
    <col min="2" max="2" width="90" customWidth="1"/>
  </cols>
  <sheetData>
    <row r="1" spans="1:2" x14ac:dyDescent="0.25">
      <c r="A1" s="1" t="s">
        <v>152</v>
      </c>
      <c r="B1" s="1"/>
    </row>
    <row r="2" ht="28" customHeight="1" spans="1:2" x14ac:dyDescent="0.25">
      <c r="A2" s="2" t="s">
        <v>153</v>
      </c>
      <c r="B2" s="2"/>
    </row>
    <row r="4" spans="1:2" x14ac:dyDescent="0.25">
      <c r="A4" s="4" t="s">
        <v>154</v>
      </c>
      <c r="B4" s="13" t="s">
        <v>155</v>
      </c>
    </row>
    <row r="5" spans="1:2" x14ac:dyDescent="0.25">
      <c r="A5" s="4" t="s">
        <v>156</v>
      </c>
      <c r="B5" s="13" t="s">
        <v>157</v>
      </c>
    </row>
    <row r="6" spans="1:2" x14ac:dyDescent="0.25">
      <c r="A6" s="4" t="s">
        <v>158</v>
      </c>
      <c r="B6" s="13" t="s">
        <v>159</v>
      </c>
    </row>
    <row r="7" spans="1:2" x14ac:dyDescent="0.25">
      <c r="A7" s="4" t="s">
        <v>160</v>
      </c>
      <c r="B7" s="13" t="s">
        <v>161</v>
      </c>
    </row>
    <row r="8" spans="1:2" x14ac:dyDescent="0.25">
      <c r="A8" s="4" t="s">
        <v>162</v>
      </c>
      <c r="B8" s="13" t="s">
        <v>163</v>
      </c>
    </row>
    <row r="9" spans="1:2" x14ac:dyDescent="0.25">
      <c r="A9" s="4" t="s">
        <v>164</v>
      </c>
      <c r="B9" s="13" t="s">
        <v>165</v>
      </c>
    </row>
    <row r="11" spans="1:2" x14ac:dyDescent="0.25">
      <c r="A11" s="14" t="s">
        <v>166</v>
      </c>
      <c r="B11" s="13" t="s">
        <v>167</v>
      </c>
    </row>
    <row r="12" spans="1:2" x14ac:dyDescent="0.25">
      <c r="A12" s="15" t="s">
        <v>168</v>
      </c>
      <c r="B12" s="13" t="s">
        <v>169</v>
      </c>
    </row>
    <row r="13" spans="1:2" x14ac:dyDescent="0.25">
      <c r="A13" s="4" t="s">
        <v>53</v>
      </c>
      <c r="B13" s="13" t="s">
        <v>170</v>
      </c>
    </row>
    <row r="14" spans="1:2" x14ac:dyDescent="0.25">
      <c r="A14" s="4" t="s">
        <v>171</v>
      </c>
      <c r="B14" s="13" t="s">
        <v>172</v>
      </c>
    </row>
    <row r="16" spans="1:1" x14ac:dyDescent="0.25">
      <c r="A16" s="16" t="s">
        <v>173</v>
      </c>
    </row>
    <row r="17" spans="1:2" x14ac:dyDescent="0.25">
      <c r="A17" s="4" t="s">
        <v>48</v>
      </c>
      <c r="B17" s="13" t="s">
        <v>174</v>
      </c>
    </row>
    <row r="18" spans="1:2" x14ac:dyDescent="0.25">
      <c r="A18" s="4" t="s">
        <v>175</v>
      </c>
      <c r="B18" s="13" t="s">
        <v>176</v>
      </c>
    </row>
    <row r="19" spans="1:2" x14ac:dyDescent="0.25">
      <c r="A19" s="4" t="s">
        <v>177</v>
      </c>
      <c r="B19" s="13" t="s">
        <v>178</v>
      </c>
    </row>
    <row r="20" spans="1:2" x14ac:dyDescent="0.25">
      <c r="A20" s="4" t="s">
        <v>179</v>
      </c>
      <c r="B20" s="13" t="s">
        <v>180</v>
      </c>
    </row>
    <row r="21" spans="1:2" x14ac:dyDescent="0.25">
      <c r="A21" s="4" t="s">
        <v>52</v>
      </c>
      <c r="B21" s="13" t="s">
        <v>181</v>
      </c>
    </row>
    <row r="22" spans="1:2" x14ac:dyDescent="0.25">
      <c r="A22" s="4" t="s">
        <v>53</v>
      </c>
      <c r="B22" s="13" t="s">
        <v>88</v>
      </c>
    </row>
    <row r="23" spans="1:2" x14ac:dyDescent="0.25">
      <c r="A23" s="4" t="s">
        <v>32</v>
      </c>
      <c r="B23" s="13" t="s">
        <v>182</v>
      </c>
    </row>
  </sheetData>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Sign-off</vt:lpstr>
      <vt:lpstr>Checklist</vt:lpstr>
      <vt:lpstr>Open issues</vt:lpstr>
      <vt:lpstr>Waivers</vt:lpstr>
      <vt:lpstr>What the prototype could not sh</vt:lpstr>
      <vt:lpstr>Handover</vt:lpstr>
      <vt:lpstr>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AtlasPM</dc:creator>
  <dc:title>FPV-D6 — FPGA verification signoff report</dc:title>
  <dc:subject/>
  <dc:description/>
  <cp:keywords/>
  <cp:category/>
  <cp:lastModifiedBy>Unknown</cp:lastModifiedBy>
  <dcterms:created xsi:type="dcterms:W3CDTF">2026-09-27T06:00:50Z</dcterms:created>
  <dcterms:modified xsi:type="dcterms:W3CDTF">2026-09-27T06:00:50Z</dcterms:modified>
</cp:coreProperties>
</file>